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메인" sheetId="1" state="visible" r:id="rId3"/>
    <sheet name="부동산등기" sheetId="2" state="visible" r:id="rId4"/>
    <sheet name="상속·유언" sheetId="3" state="visible" r:id="rId5"/>
    <sheet name="법인등기" sheetId="4" state="visible" r:id="rId6"/>
    <sheet name="민사집행·채권" sheetId="5" state="visible" r:id="rId7"/>
    <sheet name="기준표(세율·보수료)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<sst xmlns="http://schemas.openxmlformats.org/spreadsheetml/2006/main" count="178" uniqueCount="144">
  <si>
    <r>
      <rPr>
        <b val="true"/>
        <sz val="17"/>
        <color rgb="FFFFFFFF"/>
        <rFont val="DejaVu Sans"/>
        <family val="2"/>
      </rPr>
      <t xml:space="preserve">⚖  법무사  공과금 </t>
    </r>
    <r>
      <rPr>
        <b val="true"/>
        <sz val="17"/>
        <color rgb="FFFFFFFF"/>
        <rFont val="맑은 고딕"/>
        <family val="0"/>
        <charset val="1"/>
      </rPr>
      <t xml:space="preserve">· </t>
    </r>
    <r>
      <rPr>
        <b val="true"/>
        <sz val="17"/>
        <color rgb="FFFFFFFF"/>
        <rFont val="DejaVu Sans"/>
        <family val="2"/>
      </rPr>
      <t xml:space="preserve">보수료  자동계산기</t>
    </r>
  </si>
  <si>
    <t xml:space="preserve">🏠 부동산등기</t>
  </si>
  <si>
    <r>
      <rPr>
        <sz val="10"/>
        <color rgb="FF1F3864"/>
        <rFont val="DejaVu Sans"/>
        <family val="2"/>
      </rPr>
      <t xml:space="preserve">소유권이전</t>
    </r>
    <r>
      <rPr>
        <sz val="10"/>
        <color rgb="FF1F3864"/>
        <rFont val="맑은 고딕"/>
        <family val="0"/>
        <charset val="1"/>
      </rPr>
      <t xml:space="preserve">(</t>
    </r>
    <r>
      <rPr>
        <sz val="10"/>
        <color rgb="FF1F3864"/>
        <rFont val="DejaVu Sans"/>
        <family val="2"/>
      </rPr>
      <t xml:space="preserve">매매</t>
    </r>
    <r>
      <rPr>
        <sz val="10"/>
        <color rgb="FF1F3864"/>
        <rFont val="맑은 고딕"/>
        <family val="0"/>
        <charset val="1"/>
      </rPr>
      <t xml:space="preserve">·</t>
    </r>
    <r>
      <rPr>
        <sz val="10"/>
        <color rgb="FF1F3864"/>
        <rFont val="DejaVu Sans"/>
        <family val="2"/>
      </rPr>
      <t xml:space="preserve">증여</t>
    </r>
    <r>
      <rPr>
        <sz val="10"/>
        <color rgb="FF1F3864"/>
        <rFont val="맑은 고딕"/>
        <family val="0"/>
        <charset val="1"/>
      </rPr>
      <t xml:space="preserve">·</t>
    </r>
    <r>
      <rPr>
        <sz val="10"/>
        <color rgb="FF1F3864"/>
        <rFont val="DejaVu Sans"/>
        <family val="2"/>
      </rPr>
      <t xml:space="preserve">상속</t>
    </r>
    <r>
      <rPr>
        <sz val="10"/>
        <color rgb="FF1F3864"/>
        <rFont val="맑은 고딕"/>
        <family val="0"/>
        <charset val="1"/>
      </rPr>
      <t xml:space="preserve">), </t>
    </r>
    <r>
      <rPr>
        <sz val="10"/>
        <color rgb="FF1F3864"/>
        <rFont val="DejaVu Sans"/>
        <family val="2"/>
      </rPr>
      <t xml:space="preserve">근저당권설정 등</t>
    </r>
  </si>
  <si>
    <t xml:space="preserve">→ 아래 시트 탭 클릭</t>
  </si>
  <si>
    <r>
      <rPr>
        <b val="true"/>
        <sz val="11"/>
        <color rgb="FFFFFFFF"/>
        <rFont val="DejaVu Sans"/>
        <family val="2"/>
      </rPr>
      <t xml:space="preserve">👪 상속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유언</t>
    </r>
  </si>
  <si>
    <r>
      <rPr>
        <sz val="10"/>
        <color rgb="FF1F3864"/>
        <rFont val="DejaVu Sans"/>
        <family val="2"/>
      </rPr>
      <t xml:space="preserve">상속등기</t>
    </r>
    <r>
      <rPr>
        <sz val="10"/>
        <color rgb="FF1F3864"/>
        <rFont val="맑은 고딕"/>
        <family val="0"/>
        <charset val="1"/>
      </rPr>
      <t xml:space="preserve">, </t>
    </r>
    <r>
      <rPr>
        <sz val="10"/>
        <color rgb="FF1F3864"/>
        <rFont val="DejaVu Sans"/>
        <family val="2"/>
      </rPr>
      <t xml:space="preserve">유증</t>
    </r>
    <r>
      <rPr>
        <sz val="10"/>
        <color rgb="FF1F3864"/>
        <rFont val="맑은 고딕"/>
        <family val="0"/>
        <charset val="1"/>
      </rPr>
      <t xml:space="preserve">, </t>
    </r>
    <r>
      <rPr>
        <sz val="10"/>
        <color rgb="FF1F3864"/>
        <rFont val="DejaVu Sans"/>
        <family val="2"/>
      </rPr>
      <t xml:space="preserve">유언공정증서 관련</t>
    </r>
  </si>
  <si>
    <t xml:space="preserve">🏢 법인등기</t>
  </si>
  <si>
    <r>
      <rPr>
        <sz val="10"/>
        <color rgb="FF1F3864"/>
        <rFont val="DejaVu Sans"/>
        <family val="2"/>
      </rPr>
      <t xml:space="preserve">법인 설립</t>
    </r>
    <r>
      <rPr>
        <sz val="10"/>
        <color rgb="FF1F3864"/>
        <rFont val="맑은 고딕"/>
        <family val="0"/>
        <charset val="1"/>
      </rPr>
      <t xml:space="preserve">·</t>
    </r>
    <r>
      <rPr>
        <sz val="10"/>
        <color rgb="FF1F3864"/>
        <rFont val="DejaVu Sans"/>
        <family val="2"/>
      </rPr>
      <t xml:space="preserve">변경</t>
    </r>
    <r>
      <rPr>
        <sz val="10"/>
        <color rgb="FF1F3864"/>
        <rFont val="맑은 고딕"/>
        <family val="0"/>
        <charset val="1"/>
      </rPr>
      <t xml:space="preserve">·</t>
    </r>
    <r>
      <rPr>
        <sz val="10"/>
        <color rgb="FF1F3864"/>
        <rFont val="DejaVu Sans"/>
        <family val="2"/>
      </rPr>
      <t xml:space="preserve">해산 등</t>
    </r>
  </si>
  <si>
    <r>
      <rPr>
        <b val="true"/>
        <sz val="11"/>
        <color rgb="FFFFFFFF"/>
        <rFont val="DejaVu Sans"/>
        <family val="2"/>
      </rPr>
      <t xml:space="preserve">⚡ 민사집행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채권</t>
    </r>
  </si>
  <si>
    <r>
      <rPr>
        <sz val="10"/>
        <color rgb="FF1F3864"/>
        <rFont val="DejaVu Sans"/>
        <family val="2"/>
      </rPr>
      <t xml:space="preserve">채권압류</t>
    </r>
    <r>
      <rPr>
        <sz val="10"/>
        <color rgb="FF1F3864"/>
        <rFont val="맑은 고딕"/>
        <family val="0"/>
        <charset val="1"/>
      </rPr>
      <t xml:space="preserve">, </t>
    </r>
    <r>
      <rPr>
        <sz val="10"/>
        <color rgb="FF1F3864"/>
        <rFont val="DejaVu Sans"/>
        <family val="2"/>
      </rPr>
      <t xml:space="preserve">강제경매</t>
    </r>
    <r>
      <rPr>
        <sz val="10"/>
        <color rgb="FF1F3864"/>
        <rFont val="맑은 고딕"/>
        <family val="0"/>
        <charset val="1"/>
      </rPr>
      <t xml:space="preserve">, </t>
    </r>
    <r>
      <rPr>
        <sz val="10"/>
        <color rgb="FF1F3864"/>
        <rFont val="DejaVu Sans"/>
        <family val="2"/>
      </rPr>
      <t xml:space="preserve">가압류</t>
    </r>
    <r>
      <rPr>
        <sz val="10"/>
        <color rgb="FF1F3864"/>
        <rFont val="맑은 고딕"/>
        <family val="0"/>
        <charset val="1"/>
      </rPr>
      <t xml:space="preserve">, </t>
    </r>
    <r>
      <rPr>
        <sz val="10"/>
        <color rgb="FF1F3864"/>
        <rFont val="DejaVu Sans"/>
        <family val="2"/>
      </rPr>
      <t xml:space="preserve">지급명령 등</t>
    </r>
  </si>
  <si>
    <r>
      <rPr>
        <i val="true"/>
        <sz val="9"/>
        <color rgb="FFC00000"/>
        <rFont val="DejaVu Sans"/>
        <family val="2"/>
      </rPr>
      <t xml:space="preserve">※ 각 시트의 파란색</t>
    </r>
    <r>
      <rPr>
        <i val="true"/>
        <sz val="9"/>
        <color rgb="FFC00000"/>
        <rFont val="맑은 고딕"/>
        <family val="0"/>
        <charset val="1"/>
      </rPr>
      <t xml:space="preserve">(</t>
    </r>
    <r>
      <rPr>
        <i val="true"/>
        <sz val="9"/>
        <color rgb="FFC00000"/>
        <rFont val="DejaVu Sans"/>
        <family val="2"/>
      </rPr>
      <t xml:space="preserve">노란 배경</t>
    </r>
    <r>
      <rPr>
        <i val="true"/>
        <sz val="9"/>
        <color rgb="FFC00000"/>
        <rFont val="맑은 고딕"/>
        <family val="0"/>
        <charset val="1"/>
      </rPr>
      <t xml:space="preserve">) </t>
    </r>
    <r>
      <rPr>
        <i val="true"/>
        <sz val="9"/>
        <color rgb="FFC00000"/>
        <rFont val="DejaVu Sans"/>
        <family val="2"/>
      </rPr>
      <t xml:space="preserve">셀에 값을 입력하세요</t>
    </r>
    <r>
      <rPr>
        <i val="true"/>
        <sz val="9"/>
        <color rgb="FFC00000"/>
        <rFont val="맑은 고딕"/>
        <family val="0"/>
        <charset val="1"/>
      </rPr>
      <t xml:space="preserve">. </t>
    </r>
    <r>
      <rPr>
        <i val="true"/>
        <sz val="9"/>
        <color rgb="FFC00000"/>
        <rFont val="DejaVu Sans"/>
        <family val="2"/>
      </rPr>
      <t xml:space="preserve">세율은 법령 개정시 직접 수정하세요</t>
    </r>
    <r>
      <rPr>
        <i val="true"/>
        <sz val="9"/>
        <color rgb="FFC00000"/>
        <rFont val="맑은 고딕"/>
        <family val="0"/>
        <charset val="1"/>
      </rPr>
      <t xml:space="preserve">. (2024</t>
    </r>
    <r>
      <rPr>
        <i val="true"/>
        <sz val="9"/>
        <color rgb="FFC00000"/>
        <rFont val="DejaVu Sans"/>
        <family val="2"/>
      </rPr>
      <t xml:space="preserve">년 기준</t>
    </r>
    <r>
      <rPr>
        <i val="true"/>
        <sz val="9"/>
        <color rgb="FFC00000"/>
        <rFont val="맑은 고딕"/>
        <family val="0"/>
        <charset val="1"/>
      </rPr>
      <t xml:space="preserve">)</t>
    </r>
  </si>
  <si>
    <r>
      <rPr>
        <b val="true"/>
        <sz val="14"/>
        <color rgb="FFFFFFFF"/>
        <rFont val="DejaVu Sans"/>
        <family val="2"/>
      </rPr>
      <t xml:space="preserve">🏠 부동산 등기  공과금 </t>
    </r>
    <r>
      <rPr>
        <b val="true"/>
        <sz val="14"/>
        <color rgb="FFFFFFFF"/>
        <rFont val="맑은 고딕"/>
        <family val="0"/>
        <charset val="1"/>
      </rPr>
      <t xml:space="preserve">· </t>
    </r>
    <r>
      <rPr>
        <b val="true"/>
        <sz val="14"/>
        <color rgb="FFFFFFFF"/>
        <rFont val="DejaVu Sans"/>
        <family val="2"/>
      </rPr>
      <t xml:space="preserve">보수료 계산기</t>
    </r>
  </si>
  <si>
    <r>
      <rPr>
        <b val="true"/>
        <sz val="10"/>
        <color rgb="FF1F3864"/>
        <rFont val="DejaVu Sans"/>
        <family val="2"/>
      </rPr>
      <t xml:space="preserve">■ 입력 항목  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DejaVu Sans"/>
        <family val="2"/>
      </rPr>
      <t xml:space="preserve">파란색</t>
    </r>
    <r>
      <rPr>
        <b val="true"/>
        <sz val="10"/>
        <color rgb="FF1F3864"/>
        <rFont val="맑은 고딕"/>
        <family val="0"/>
        <charset val="1"/>
      </rPr>
      <t xml:space="preserve">/</t>
    </r>
    <r>
      <rPr>
        <b val="true"/>
        <sz val="10"/>
        <color rgb="FF1F3864"/>
        <rFont val="DejaVu Sans"/>
        <family val="2"/>
      </rPr>
      <t xml:space="preserve">노란색 셀에 입력</t>
    </r>
    <r>
      <rPr>
        <b val="true"/>
        <sz val="10"/>
        <color rgb="FF1F3864"/>
        <rFont val="맑은 고딕"/>
        <family val="0"/>
        <charset val="1"/>
      </rPr>
      <t xml:space="preserve">)</t>
    </r>
  </si>
  <si>
    <t xml:space="preserve">등기목적</t>
  </si>
  <si>
    <r>
      <rPr>
        <b val="true"/>
        <sz val="10"/>
        <color rgb="FF0070C0"/>
        <rFont val="DejaVu Sans"/>
        <family val="2"/>
      </rPr>
      <t xml:space="preserve">소유권이전</t>
    </r>
    <r>
      <rPr>
        <b val="true"/>
        <sz val="10"/>
        <color rgb="FF0070C0"/>
        <rFont val="맑은 고딕"/>
        <family val="0"/>
        <charset val="1"/>
      </rPr>
      <t xml:space="preserve">(</t>
    </r>
    <r>
      <rPr>
        <b val="true"/>
        <sz val="10"/>
        <color rgb="FF0070C0"/>
        <rFont val="DejaVu Sans"/>
        <family val="2"/>
      </rPr>
      <t xml:space="preserve">매매</t>
    </r>
    <r>
      <rPr>
        <b val="true"/>
        <sz val="10"/>
        <color rgb="FF0070C0"/>
        <rFont val="맑은 고딕"/>
        <family val="0"/>
        <charset val="1"/>
      </rPr>
      <t xml:space="preserve">)</t>
    </r>
  </si>
  <si>
    <r>
      <rPr>
        <i val="true"/>
        <sz val="8"/>
        <color rgb="FF7F7F7F"/>
        <rFont val="DejaVu Sans"/>
        <family val="2"/>
      </rPr>
      <t xml:space="preserve">※ 근저당</t>
    </r>
    <r>
      <rPr>
        <i val="true"/>
        <sz val="8"/>
        <color rgb="FF7F7F7F"/>
        <rFont val="맑은 고딕"/>
        <family val="0"/>
        <charset val="1"/>
      </rPr>
      <t xml:space="preserve">/</t>
    </r>
    <r>
      <rPr>
        <i val="true"/>
        <sz val="8"/>
        <color rgb="FF7F7F7F"/>
        <rFont val="DejaVu Sans"/>
        <family val="2"/>
      </rPr>
      <t xml:space="preserve">전세권은 </t>
    </r>
    <r>
      <rPr>
        <i val="true"/>
        <sz val="8"/>
        <color rgb="FF7F7F7F"/>
        <rFont val="맑은 고딕"/>
        <family val="0"/>
        <charset val="1"/>
      </rPr>
      <t xml:space="preserve">C9 </t>
    </r>
    <r>
      <rPr>
        <i val="true"/>
        <sz val="8"/>
        <color rgb="FF7F7F7F"/>
        <rFont val="DejaVu Sans"/>
        <family val="2"/>
      </rPr>
      <t xml:space="preserve">채권최고액 입력</t>
    </r>
  </si>
  <si>
    <r>
      <rPr>
        <sz val="10"/>
        <color rgb="FF000000"/>
        <rFont val="DejaVu Sans"/>
        <family val="2"/>
      </rPr>
      <t xml:space="preserve">과세표준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시가표준액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원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</si>
  <si>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i val="true"/>
        <sz val="8"/>
        <color rgb="FF7F7F7F"/>
        <rFont val="DejaVu Sans"/>
        <family val="2"/>
      </rPr>
      <t xml:space="preserve">실거래가 </t>
    </r>
    <r>
      <rPr>
        <i val="true"/>
        <sz val="8"/>
        <color rgb="FF7F7F7F"/>
        <rFont val="맑은 고딕"/>
        <family val="0"/>
        <charset val="1"/>
      </rPr>
      <t xml:space="preserve">or </t>
    </r>
    <r>
      <rPr>
        <i val="true"/>
        <sz val="8"/>
        <color rgb="FF7F7F7F"/>
        <rFont val="DejaVu Sans"/>
        <family val="2"/>
      </rPr>
      <t xml:space="preserve">시가표준액 중 큰 값</t>
    </r>
  </si>
  <si>
    <t xml:space="preserve">주택 구분</t>
  </si>
  <si>
    <r>
      <rPr>
        <b val="true"/>
        <sz val="10"/>
        <color rgb="FF0070C0"/>
        <rFont val="DejaVu Sans"/>
        <family val="2"/>
      </rPr>
      <t xml:space="preserve">주택</t>
    </r>
    <r>
      <rPr>
        <b val="true"/>
        <sz val="10"/>
        <color rgb="FF0070C0"/>
        <rFont val="맑은 고딕"/>
        <family val="0"/>
        <charset val="1"/>
      </rPr>
      <t xml:space="preserve">(85</t>
    </r>
    <r>
      <rPr>
        <b val="true"/>
        <sz val="10"/>
        <color rgb="FF0070C0"/>
        <rFont val="DejaVu Sans"/>
        <family val="2"/>
      </rPr>
      <t xml:space="preserve">㎡이하</t>
    </r>
    <r>
      <rPr>
        <b val="true"/>
        <sz val="10"/>
        <color rgb="FF0070C0"/>
        <rFont val="맑은 고딕"/>
        <family val="0"/>
        <charset val="1"/>
      </rPr>
      <t xml:space="preserve">)</t>
    </r>
  </si>
  <si>
    <t xml:space="preserve">소재지</t>
  </si>
  <si>
    <t xml:space="preserve">서울특별시</t>
  </si>
  <si>
    <t xml:space="preserve">국민주택채권 매입비율에 영향</t>
  </si>
  <si>
    <r>
      <rPr>
        <sz val="10"/>
        <color rgb="FF000000"/>
        <rFont val="DejaVu Sans"/>
        <family val="2"/>
      </rPr>
      <t xml:space="preserve">채권최고액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근저당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전세권설정시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원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</si>
  <si>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i val="true"/>
        <sz val="8"/>
        <color rgb="FF7F7F7F"/>
        <rFont val="DejaVu Sans"/>
        <family val="2"/>
      </rPr>
      <t xml:space="preserve">근저당</t>
    </r>
    <r>
      <rPr>
        <i val="true"/>
        <sz val="8"/>
        <color rgb="FF7F7F7F"/>
        <rFont val="맑은 고딕"/>
        <family val="0"/>
        <charset val="1"/>
      </rPr>
      <t xml:space="preserve">·</t>
    </r>
    <r>
      <rPr>
        <i val="true"/>
        <sz val="8"/>
        <color rgb="FF7F7F7F"/>
        <rFont val="DejaVu Sans"/>
        <family val="2"/>
      </rPr>
      <t xml:space="preserve">전세권 외에는 </t>
    </r>
    <r>
      <rPr>
        <i val="true"/>
        <sz val="8"/>
        <color rgb="FF7F7F7F"/>
        <rFont val="맑은 고딕"/>
        <family val="0"/>
        <charset val="1"/>
      </rPr>
      <t xml:space="preserve">0 </t>
    </r>
    <r>
      <rPr>
        <i val="true"/>
        <sz val="8"/>
        <color rgb="FF7F7F7F"/>
        <rFont val="DejaVu Sans"/>
        <family val="2"/>
      </rPr>
      <t xml:space="preserve">입력</t>
    </r>
  </si>
  <si>
    <r>
      <rPr>
        <sz val="10"/>
        <color rgb="FF000000"/>
        <rFont val="DejaVu Sans"/>
        <family val="2"/>
      </rPr>
      <t xml:space="preserve">계약서 금액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인지세 계산용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원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</si>
  <si>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i val="true"/>
        <sz val="8"/>
        <color rgb="FF7F7F7F"/>
        <rFont val="DejaVu Sans"/>
        <family val="2"/>
      </rPr>
      <t xml:space="preserve">매매</t>
    </r>
    <r>
      <rPr>
        <i val="true"/>
        <sz val="8"/>
        <color rgb="FF7F7F7F"/>
        <rFont val="맑은 고딕"/>
        <family val="0"/>
        <charset val="1"/>
      </rPr>
      <t xml:space="preserve">·</t>
    </r>
    <r>
      <rPr>
        <i val="true"/>
        <sz val="8"/>
        <color rgb="FF7F7F7F"/>
        <rFont val="DejaVu Sans"/>
        <family val="2"/>
      </rPr>
      <t xml:space="preserve">증여 계약서 작성시 입력</t>
    </r>
  </si>
  <si>
    <t xml:space="preserve">■ 공과금 계산 결과</t>
  </si>
  <si>
    <r>
      <rPr>
        <sz val="10"/>
        <color rgb="FF000000"/>
        <rFont val="DejaVu Sans"/>
        <family val="2"/>
      </rPr>
      <t xml:space="preserve">취득세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등록면허세</t>
    </r>
  </si>
  <si>
    <r>
      <rPr>
        <i val="true"/>
        <sz val="8"/>
        <color rgb="FF595959"/>
        <rFont val="DejaVu Sans"/>
        <family val="2"/>
      </rPr>
      <t xml:space="preserve">매매</t>
    </r>
    <r>
      <rPr>
        <i val="true"/>
        <sz val="8"/>
        <color rgb="FF595959"/>
        <rFont val="맑은 고딕"/>
        <family val="0"/>
        <charset val="1"/>
      </rPr>
      <t xml:space="preserve">·</t>
    </r>
    <r>
      <rPr>
        <i val="true"/>
        <sz val="8"/>
        <color rgb="FF595959"/>
        <rFont val="DejaVu Sans"/>
        <family val="2"/>
      </rPr>
      <t xml:space="preserve">주택</t>
    </r>
    <r>
      <rPr>
        <i val="true"/>
        <sz val="8"/>
        <color rgb="FF595959"/>
        <rFont val="맑은 고딕"/>
        <family val="0"/>
        <charset val="1"/>
      </rPr>
      <t xml:space="preserve">:6</t>
    </r>
    <r>
      <rPr>
        <i val="true"/>
        <sz val="8"/>
        <color rgb="FF595959"/>
        <rFont val="DejaVu Sans"/>
        <family val="2"/>
      </rPr>
      <t xml:space="preserve">억이하</t>
    </r>
    <r>
      <rPr>
        <i val="true"/>
        <sz val="8"/>
        <color rgb="FF595959"/>
        <rFont val="맑은 고딕"/>
        <family val="0"/>
        <charset val="1"/>
      </rPr>
      <t xml:space="preserve">1%,6~9</t>
    </r>
    <r>
      <rPr>
        <i val="true"/>
        <sz val="8"/>
        <color rgb="FF595959"/>
        <rFont val="DejaVu Sans"/>
        <family val="2"/>
      </rPr>
      <t xml:space="preserve">억누진</t>
    </r>
    <r>
      <rPr>
        <i val="true"/>
        <sz val="8"/>
        <color rgb="FF595959"/>
        <rFont val="맑은 고딕"/>
        <family val="0"/>
        <charset val="1"/>
      </rPr>
      <t xml:space="preserve">,9</t>
    </r>
    <r>
      <rPr>
        <i val="true"/>
        <sz val="8"/>
        <color rgb="FF595959"/>
        <rFont val="DejaVu Sans"/>
        <family val="2"/>
      </rPr>
      <t xml:space="preserve">억↑</t>
    </r>
    <r>
      <rPr>
        <i val="true"/>
        <sz val="8"/>
        <color rgb="FF595959"/>
        <rFont val="맑은 고딕"/>
        <family val="0"/>
        <charset val="1"/>
      </rPr>
      <t xml:space="preserve">3% / </t>
    </r>
    <r>
      <rPr>
        <i val="true"/>
        <sz val="8"/>
        <color rgb="FF595959"/>
        <rFont val="DejaVu Sans"/>
        <family val="2"/>
      </rPr>
      <t xml:space="preserve">비주택</t>
    </r>
    <r>
      <rPr>
        <i val="true"/>
        <sz val="8"/>
        <color rgb="FF595959"/>
        <rFont val="맑은 고딕"/>
        <family val="0"/>
        <charset val="1"/>
      </rPr>
      <t xml:space="preserve">:4% / </t>
    </r>
    <r>
      <rPr>
        <i val="true"/>
        <sz val="8"/>
        <color rgb="FF595959"/>
        <rFont val="DejaVu Sans"/>
        <family val="2"/>
      </rPr>
      <t xml:space="preserve">증여</t>
    </r>
    <r>
      <rPr>
        <i val="true"/>
        <sz val="8"/>
        <color rgb="FF595959"/>
        <rFont val="맑은 고딕"/>
        <family val="0"/>
        <charset val="1"/>
      </rPr>
      <t xml:space="preserve">:3.5% / </t>
    </r>
    <r>
      <rPr>
        <i val="true"/>
        <sz val="8"/>
        <color rgb="FF595959"/>
        <rFont val="DejaVu Sans"/>
        <family val="2"/>
      </rPr>
      <t xml:space="preserve">상속</t>
    </r>
    <r>
      <rPr>
        <i val="true"/>
        <sz val="8"/>
        <color rgb="FF595959"/>
        <rFont val="맑은 고딕"/>
        <family val="0"/>
        <charset val="1"/>
      </rPr>
      <t xml:space="preserve">:0.8% / </t>
    </r>
    <r>
      <rPr>
        <i val="true"/>
        <sz val="8"/>
        <color rgb="FF595959"/>
        <rFont val="DejaVu Sans"/>
        <family val="2"/>
      </rPr>
      <t xml:space="preserve">근저당</t>
    </r>
    <r>
      <rPr>
        <i val="true"/>
        <sz val="8"/>
        <color rgb="FF595959"/>
        <rFont val="맑은 고딕"/>
        <family val="0"/>
        <charset val="1"/>
      </rPr>
      <t xml:space="preserve">:0.2%</t>
    </r>
  </si>
  <si>
    <t xml:space="preserve">지방교육세</t>
  </si>
  <si>
    <r>
      <rPr>
        <i val="true"/>
        <sz val="8"/>
        <color rgb="FF595959"/>
        <rFont val="DejaVu Sans"/>
        <family val="2"/>
      </rPr>
      <t xml:space="preserve">이전등기</t>
    </r>
    <r>
      <rPr>
        <i val="true"/>
        <sz val="8"/>
        <color rgb="FF595959"/>
        <rFont val="맑은 고딕"/>
        <family val="0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취득세</t>
    </r>
    <r>
      <rPr>
        <i val="true"/>
        <sz val="8"/>
        <color rgb="FF595959"/>
        <rFont val="맑은 고딕"/>
        <family val="0"/>
        <charset val="1"/>
      </rPr>
      <t xml:space="preserve">×10% / </t>
    </r>
    <r>
      <rPr>
        <i val="true"/>
        <sz val="8"/>
        <color rgb="FF595959"/>
        <rFont val="DejaVu Sans"/>
        <family val="2"/>
      </rPr>
      <t xml:space="preserve">근저당</t>
    </r>
    <r>
      <rPr>
        <i val="true"/>
        <sz val="8"/>
        <color rgb="FF595959"/>
        <rFont val="맑은 고딕"/>
        <family val="0"/>
        <charset val="1"/>
      </rPr>
      <t xml:space="preserve">·</t>
    </r>
    <r>
      <rPr>
        <i val="true"/>
        <sz val="8"/>
        <color rgb="FF595959"/>
        <rFont val="DejaVu Sans"/>
        <family val="2"/>
      </rPr>
      <t xml:space="preserve">전세권</t>
    </r>
    <r>
      <rPr>
        <i val="true"/>
        <sz val="8"/>
        <color rgb="FF595959"/>
        <rFont val="맑은 고딕"/>
        <family val="0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등록면허세</t>
    </r>
    <r>
      <rPr>
        <i val="true"/>
        <sz val="8"/>
        <color rgb="FF595959"/>
        <rFont val="맑은 고딕"/>
        <family val="0"/>
        <charset val="1"/>
      </rPr>
      <t xml:space="preserve">×20%</t>
    </r>
  </si>
  <si>
    <t xml:space="preserve">농어촌특별세</t>
  </si>
  <si>
    <r>
      <rPr>
        <i val="true"/>
        <sz val="8"/>
        <color rgb="FF595959"/>
        <rFont val="DejaVu Sans"/>
        <family val="2"/>
      </rPr>
      <t xml:space="preserve">주택 </t>
    </r>
    <r>
      <rPr>
        <i val="true"/>
        <sz val="8"/>
        <color rgb="FF595959"/>
        <rFont val="맑은 고딕"/>
        <family val="0"/>
        <charset val="1"/>
      </rPr>
      <t xml:space="preserve">85</t>
    </r>
    <r>
      <rPr>
        <i val="true"/>
        <sz val="8"/>
        <color rgb="FF595959"/>
        <rFont val="DejaVu Sans"/>
        <family val="2"/>
      </rPr>
      <t xml:space="preserve">㎡이하</t>
    </r>
    <r>
      <rPr>
        <i val="true"/>
        <sz val="8"/>
        <color rgb="FF595959"/>
        <rFont val="맑은 고딕"/>
        <family val="0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비과세 </t>
    </r>
    <r>
      <rPr>
        <i val="true"/>
        <sz val="8"/>
        <color rgb="FF595959"/>
        <rFont val="맑은 고딕"/>
        <family val="0"/>
        <charset val="1"/>
      </rPr>
      <t xml:space="preserve">/ </t>
    </r>
    <r>
      <rPr>
        <i val="true"/>
        <sz val="8"/>
        <color rgb="FF595959"/>
        <rFont val="DejaVu Sans"/>
        <family val="2"/>
      </rPr>
      <t xml:space="preserve">비주택</t>
    </r>
    <r>
      <rPr>
        <i val="true"/>
        <sz val="8"/>
        <color rgb="FF595959"/>
        <rFont val="맑은 고딕"/>
        <family val="0"/>
        <charset val="1"/>
      </rPr>
      <t xml:space="preserve">·85</t>
    </r>
    <r>
      <rPr>
        <i val="true"/>
        <sz val="8"/>
        <color rgb="FF595959"/>
        <rFont val="DejaVu Sans"/>
        <family val="2"/>
      </rPr>
      <t xml:space="preserve">㎡초과</t>
    </r>
    <r>
      <rPr>
        <i val="true"/>
        <sz val="8"/>
        <color rgb="FF595959"/>
        <rFont val="맑은 고딕"/>
        <family val="0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취득세</t>
    </r>
    <r>
      <rPr>
        <i val="true"/>
        <sz val="8"/>
        <color rgb="FF595959"/>
        <rFont val="맑은 고딕"/>
        <family val="0"/>
        <charset val="1"/>
      </rPr>
      <t xml:space="preserve">×10%</t>
    </r>
  </si>
  <si>
    <r>
      <rPr>
        <sz val="10"/>
        <color rgb="FF000000"/>
        <rFont val="DejaVu Sans"/>
        <family val="2"/>
      </rPr>
      <t xml:space="preserve">인지세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계약서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</si>
  <si>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i val="true"/>
        <sz val="8"/>
        <color rgb="FF595959"/>
        <rFont val="맑은 고딕"/>
        <family val="0"/>
        <charset val="1"/>
      </rPr>
      <t xml:space="preserve">1</t>
    </r>
    <r>
      <rPr>
        <i val="true"/>
        <sz val="8"/>
        <color rgb="FF595959"/>
        <rFont val="DejaVu Sans"/>
        <family val="2"/>
      </rPr>
      <t xml:space="preserve">천</t>
    </r>
    <r>
      <rPr>
        <i val="true"/>
        <sz val="8"/>
        <color rgb="FF595959"/>
        <rFont val="맑은 고딕"/>
        <family val="0"/>
        <charset val="1"/>
      </rPr>
      <t xml:space="preserve">~3</t>
    </r>
    <r>
      <rPr>
        <i val="true"/>
        <sz val="8"/>
        <color rgb="FF595959"/>
        <rFont val="DejaVu Sans"/>
        <family val="2"/>
      </rPr>
      <t xml:space="preserve">천만원</t>
    </r>
    <r>
      <rPr>
        <i val="true"/>
        <sz val="8"/>
        <color rgb="FF595959"/>
        <rFont val="맑은 고딕"/>
        <family val="0"/>
        <charset val="1"/>
      </rPr>
      <t xml:space="preserve">:2</t>
    </r>
    <r>
      <rPr>
        <i val="true"/>
        <sz val="8"/>
        <color rgb="FF595959"/>
        <rFont val="DejaVu Sans"/>
        <family val="2"/>
      </rPr>
      <t xml:space="preserve">만 </t>
    </r>
    <r>
      <rPr>
        <i val="true"/>
        <sz val="8"/>
        <color rgb="FF595959"/>
        <rFont val="맑은 고딕"/>
        <family val="0"/>
        <charset val="1"/>
      </rPr>
      <t xml:space="preserve">/ 3~5</t>
    </r>
    <r>
      <rPr>
        <i val="true"/>
        <sz val="8"/>
        <color rgb="FF595959"/>
        <rFont val="DejaVu Sans"/>
        <family val="2"/>
      </rPr>
      <t xml:space="preserve">천만원</t>
    </r>
    <r>
      <rPr>
        <i val="true"/>
        <sz val="8"/>
        <color rgb="FF595959"/>
        <rFont val="맑은 고딕"/>
        <family val="0"/>
        <charset val="1"/>
      </rPr>
      <t xml:space="preserve">:4</t>
    </r>
    <r>
      <rPr>
        <i val="true"/>
        <sz val="8"/>
        <color rgb="FF595959"/>
        <rFont val="DejaVu Sans"/>
        <family val="2"/>
      </rPr>
      <t xml:space="preserve">만 </t>
    </r>
    <r>
      <rPr>
        <i val="true"/>
        <sz val="8"/>
        <color rgb="FF595959"/>
        <rFont val="맑은 고딕"/>
        <family val="0"/>
        <charset val="1"/>
      </rPr>
      <t xml:space="preserve">/ 5</t>
    </r>
    <r>
      <rPr>
        <i val="true"/>
        <sz val="8"/>
        <color rgb="FF595959"/>
        <rFont val="DejaVu Sans"/>
        <family val="2"/>
      </rPr>
      <t xml:space="preserve">천만</t>
    </r>
    <r>
      <rPr>
        <i val="true"/>
        <sz val="8"/>
        <color rgb="FF595959"/>
        <rFont val="맑은 고딕"/>
        <family val="0"/>
        <charset val="1"/>
      </rPr>
      <t xml:space="preserve">~1</t>
    </r>
    <r>
      <rPr>
        <i val="true"/>
        <sz val="8"/>
        <color rgb="FF595959"/>
        <rFont val="DejaVu Sans"/>
        <family val="2"/>
      </rPr>
      <t xml:space="preserve">억</t>
    </r>
    <r>
      <rPr>
        <i val="true"/>
        <sz val="8"/>
        <color rgb="FF595959"/>
        <rFont val="맑은 고딕"/>
        <family val="0"/>
        <charset val="1"/>
      </rPr>
      <t xml:space="preserve">:7</t>
    </r>
    <r>
      <rPr>
        <i val="true"/>
        <sz val="8"/>
        <color rgb="FF595959"/>
        <rFont val="DejaVu Sans"/>
        <family val="2"/>
      </rPr>
      <t xml:space="preserve">만 </t>
    </r>
    <r>
      <rPr>
        <i val="true"/>
        <sz val="8"/>
        <color rgb="FF595959"/>
        <rFont val="맑은 고딕"/>
        <family val="0"/>
        <charset val="1"/>
      </rPr>
      <t xml:space="preserve">/ 1~10</t>
    </r>
    <r>
      <rPr>
        <i val="true"/>
        <sz val="8"/>
        <color rgb="FF595959"/>
        <rFont val="DejaVu Sans"/>
        <family val="2"/>
      </rPr>
      <t xml:space="preserve">억</t>
    </r>
    <r>
      <rPr>
        <i val="true"/>
        <sz val="8"/>
        <color rgb="FF595959"/>
        <rFont val="맑은 고딕"/>
        <family val="0"/>
        <charset val="1"/>
      </rPr>
      <t xml:space="preserve">:15</t>
    </r>
    <r>
      <rPr>
        <i val="true"/>
        <sz val="8"/>
        <color rgb="FF595959"/>
        <rFont val="DejaVu Sans"/>
        <family val="2"/>
      </rPr>
      <t xml:space="preserve">만 </t>
    </r>
    <r>
      <rPr>
        <i val="true"/>
        <sz val="8"/>
        <color rgb="FF595959"/>
        <rFont val="맑은 고딕"/>
        <family val="0"/>
        <charset val="1"/>
      </rPr>
      <t xml:space="preserve">/ 10</t>
    </r>
    <r>
      <rPr>
        <i val="true"/>
        <sz val="8"/>
        <color rgb="FF595959"/>
        <rFont val="DejaVu Sans"/>
        <family val="2"/>
      </rPr>
      <t xml:space="preserve">억↑</t>
    </r>
    <r>
      <rPr>
        <i val="true"/>
        <sz val="8"/>
        <color rgb="FF595959"/>
        <rFont val="맑은 고딕"/>
        <family val="0"/>
        <charset val="1"/>
      </rPr>
      <t xml:space="preserve">:35</t>
    </r>
    <r>
      <rPr>
        <i val="true"/>
        <sz val="8"/>
        <color rgb="FF595959"/>
        <rFont val="DejaVu Sans"/>
        <family val="2"/>
      </rPr>
      <t xml:space="preserve">만</t>
    </r>
  </si>
  <si>
    <t xml:space="preserve">국민주택채권 매입액</t>
  </si>
  <si>
    <r>
      <rPr>
        <i val="true"/>
        <sz val="8"/>
        <color rgb="FF595959"/>
        <rFont val="DejaVu Sans"/>
        <family val="2"/>
      </rPr>
      <t xml:space="preserve">서울</t>
    </r>
    <r>
      <rPr>
        <i val="true"/>
        <sz val="8"/>
        <color rgb="FF595959"/>
        <rFont val="맑은 고딕"/>
        <family val="0"/>
        <charset val="1"/>
      </rPr>
      <t xml:space="preserve">:1.3%/1.0% | </t>
    </r>
    <r>
      <rPr>
        <i val="true"/>
        <sz val="8"/>
        <color rgb="FF595959"/>
        <rFont val="DejaVu Sans"/>
        <family val="2"/>
      </rPr>
      <t xml:space="preserve">광역시</t>
    </r>
    <r>
      <rPr>
        <i val="true"/>
        <sz val="8"/>
        <color rgb="FF595959"/>
        <rFont val="맑은 고딕"/>
        <family val="0"/>
        <charset val="1"/>
      </rPr>
      <t xml:space="preserve">:1.0%/0.8% | </t>
    </r>
    <r>
      <rPr>
        <i val="true"/>
        <sz val="8"/>
        <color rgb="FF595959"/>
        <rFont val="DejaVu Sans"/>
        <family val="2"/>
      </rPr>
      <t xml:space="preserve">시</t>
    </r>
    <r>
      <rPr>
        <i val="true"/>
        <sz val="8"/>
        <color rgb="FF595959"/>
        <rFont val="맑은 고딕"/>
        <family val="0"/>
        <charset val="1"/>
      </rPr>
      <t xml:space="preserve">(</t>
    </r>
    <r>
      <rPr>
        <i val="true"/>
        <sz val="8"/>
        <color rgb="FF595959"/>
        <rFont val="DejaVu Sans"/>
        <family val="2"/>
      </rPr>
      <t xml:space="preserve">수도권</t>
    </r>
    <r>
      <rPr>
        <i val="true"/>
        <sz val="8"/>
        <color rgb="FF595959"/>
        <rFont val="맑은 고딕"/>
        <family val="0"/>
        <charset val="1"/>
      </rPr>
      <t xml:space="preserve">):0.7%/0.5% | </t>
    </r>
    <r>
      <rPr>
        <i val="true"/>
        <sz val="8"/>
        <color rgb="FF595959"/>
        <rFont val="DejaVu Sans"/>
        <family val="2"/>
      </rPr>
      <t xml:space="preserve">시기타</t>
    </r>
    <r>
      <rPr>
        <i val="true"/>
        <sz val="8"/>
        <color rgb="FF595959"/>
        <rFont val="맑은 고딕"/>
        <family val="0"/>
        <charset val="1"/>
      </rPr>
      <t xml:space="preserve">/</t>
    </r>
    <r>
      <rPr>
        <i val="true"/>
        <sz val="8"/>
        <color rgb="FF595959"/>
        <rFont val="DejaVu Sans"/>
        <family val="2"/>
      </rPr>
      <t xml:space="preserve">군</t>
    </r>
    <r>
      <rPr>
        <i val="true"/>
        <sz val="8"/>
        <color rgb="FF595959"/>
        <rFont val="맑은 고딕"/>
        <family val="0"/>
        <charset val="1"/>
      </rPr>
      <t xml:space="preserve">:0.5%/0.3%</t>
    </r>
  </si>
  <si>
    <t xml:space="preserve">공과금 소계</t>
  </si>
  <si>
    <r>
      <rPr>
        <b val="true"/>
        <sz val="10"/>
        <color rgb="FF1F3864"/>
        <rFont val="DejaVu Sans"/>
        <family val="2"/>
      </rPr>
      <t xml:space="preserve">■ 법무사 보수료  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DejaVu Sans"/>
        <family val="2"/>
      </rPr>
      <t xml:space="preserve">법무사보수규정 기준</t>
    </r>
    <r>
      <rPr>
        <b val="true"/>
        <sz val="10"/>
        <color rgb="FF1F3864"/>
        <rFont val="맑은 고딕"/>
        <family val="0"/>
        <charset val="1"/>
      </rPr>
      <t xml:space="preserve">, 2024)</t>
    </r>
  </si>
  <si>
    <r>
      <rPr>
        <sz val="10"/>
        <color rgb="FF000000"/>
        <rFont val="DejaVu Sans"/>
        <family val="2"/>
      </rPr>
      <t xml:space="preserve">법무사 보수료 </t>
    </r>
    <r>
      <rPr>
        <sz val="10"/>
        <color rgb="FF000000"/>
        <rFont val="맑은 고딕"/>
        <family val="0"/>
        <charset val="1"/>
      </rPr>
      <t xml:space="preserve">(VAT </t>
    </r>
    <r>
      <rPr>
        <sz val="10"/>
        <color rgb="FF000000"/>
        <rFont val="DejaVu Sans"/>
        <family val="2"/>
      </rPr>
      <t xml:space="preserve">별도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</si>
  <si>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i val="true"/>
        <sz val="8"/>
        <color rgb="FF595959"/>
        <rFont val="DejaVu Sans"/>
        <family val="2"/>
      </rPr>
      <t xml:space="preserve">최저보수</t>
    </r>
    <r>
      <rPr>
        <i val="true"/>
        <sz val="8"/>
        <color rgb="FF595959"/>
        <rFont val="맑은 고딕"/>
        <family val="0"/>
        <charset val="1"/>
      </rPr>
      <t xml:space="preserve">: 70,000</t>
    </r>
    <r>
      <rPr>
        <i val="true"/>
        <sz val="8"/>
        <color rgb="FF595959"/>
        <rFont val="DejaVu Sans"/>
        <family val="2"/>
      </rPr>
      <t xml:space="preserve">원</t>
    </r>
  </si>
  <si>
    <r>
      <rPr>
        <sz val="10"/>
        <color rgb="FF000000"/>
        <rFont val="DejaVu Sans"/>
        <family val="2"/>
      </rPr>
      <t xml:space="preserve">부가가치세 </t>
    </r>
    <r>
      <rPr>
        <sz val="10"/>
        <color rgb="FF000000"/>
        <rFont val="맑은 고딕"/>
        <family val="0"/>
        <charset val="1"/>
      </rPr>
      <t xml:space="preserve">(10%)</t>
    </r>
  </si>
  <si>
    <r>
      <rPr>
        <b val="true"/>
        <sz val="10"/>
        <color rgb="FFFFFFFF"/>
        <rFont val="DejaVu Sans"/>
        <family val="2"/>
      </rPr>
      <t xml:space="preserve">보수료 소계 </t>
    </r>
    <r>
      <rPr>
        <b val="true"/>
        <sz val="10"/>
        <color rgb="FFFFFFFF"/>
        <rFont val="맑은 고딕"/>
        <family val="0"/>
        <charset val="1"/>
      </rPr>
      <t xml:space="preserve">(VAT </t>
    </r>
    <r>
      <rPr>
        <b val="true"/>
        <sz val="10"/>
        <color rgb="FFFFFFFF"/>
        <rFont val="DejaVu Sans"/>
        <family val="2"/>
      </rPr>
      <t xml:space="preserve">포함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</si>
  <si>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3"/>
        <color rgb="FFFFFFFF"/>
        <rFont val="DejaVu Sans"/>
        <family val="2"/>
      </rPr>
      <t xml:space="preserve">▶▶  총 납부 예상금액  </t>
    </r>
    <r>
      <rPr>
        <b val="true"/>
        <sz val="13"/>
        <color rgb="FFFFFFFF"/>
        <rFont val="맑은 고딕"/>
        <family val="0"/>
        <charset val="1"/>
      </rPr>
      <t xml:space="preserve">(</t>
    </r>
    <r>
      <rPr>
        <b val="true"/>
        <sz val="13"/>
        <color rgb="FFFFFFFF"/>
        <rFont val="DejaVu Sans"/>
        <family val="2"/>
      </rPr>
      <t xml:space="preserve">원</t>
    </r>
    <r>
      <rPr>
        <b val="true"/>
        <sz val="13"/>
        <color rgb="FFFFFFFF"/>
        <rFont val="맑은 고딕"/>
        <family val="0"/>
        <charset val="1"/>
      </rPr>
      <t xml:space="preserve">)</t>
    </r>
  </si>
  <si>
    <t xml:space="preserve">■ 참고</t>
  </si>
  <si>
    <r>
      <rPr>
        <sz val="10"/>
        <color rgb="FF000000"/>
        <rFont val="DejaVu Sans"/>
        <family val="2"/>
      </rPr>
      <t xml:space="preserve">채권 실부담금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즉시매도 기준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약</t>
    </r>
    <r>
      <rPr>
        <sz val="10"/>
        <color rgb="FF000000"/>
        <rFont val="맑은 고딕"/>
        <family val="0"/>
        <charset val="1"/>
      </rPr>
      <t xml:space="preserve">95%)</t>
    </r>
  </si>
  <si>
    <r>
      <rPr>
        <i val="true"/>
        <sz val="8"/>
        <color rgb="FF595959"/>
        <rFont val="DejaVu Sans"/>
        <family val="2"/>
      </rPr>
      <t xml:space="preserve">즉시매도시 약 </t>
    </r>
    <r>
      <rPr>
        <i val="true"/>
        <sz val="8"/>
        <color rgb="FF595959"/>
        <rFont val="맑은 고딕"/>
        <family val="0"/>
        <charset val="1"/>
      </rPr>
      <t xml:space="preserve">5% </t>
    </r>
    <r>
      <rPr>
        <i val="true"/>
        <sz val="8"/>
        <color rgb="FF595959"/>
        <rFont val="DejaVu Sans"/>
        <family val="2"/>
      </rPr>
      <t xml:space="preserve">할인 차감 </t>
    </r>
    <r>
      <rPr>
        <i val="true"/>
        <sz val="8"/>
        <color rgb="FF595959"/>
        <rFont val="맑은 고딕"/>
        <family val="0"/>
        <charset val="1"/>
      </rPr>
      <t xml:space="preserve">- </t>
    </r>
    <r>
      <rPr>
        <i val="true"/>
        <sz val="8"/>
        <color rgb="FF595959"/>
        <rFont val="DejaVu Sans"/>
        <family val="2"/>
      </rPr>
      <t xml:space="preserve">실제 할인율 확인 필요</t>
    </r>
  </si>
  <si>
    <r>
      <rPr>
        <i val="true"/>
        <sz val="8"/>
        <color rgb="FFC00000"/>
        <rFont val="DejaVu Sans"/>
        <family val="2"/>
      </rPr>
      <t xml:space="preserve">※ 주의</t>
    </r>
    <r>
      <rPr>
        <i val="true"/>
        <sz val="8"/>
        <color rgb="FFC00000"/>
        <rFont val="맑은 고딕"/>
        <family val="0"/>
        <charset val="1"/>
      </rPr>
      <t xml:space="preserve">: </t>
    </r>
    <r>
      <rPr>
        <i val="true"/>
        <sz val="8"/>
        <color rgb="FFC00000"/>
        <rFont val="DejaVu Sans"/>
        <family val="2"/>
      </rPr>
      <t xml:space="preserve">다주택자</t>
    </r>
    <r>
      <rPr>
        <i val="true"/>
        <sz val="8"/>
        <color rgb="FFC00000"/>
        <rFont val="맑은 고딕"/>
        <family val="0"/>
        <charset val="1"/>
      </rPr>
      <t xml:space="preserve">·</t>
    </r>
    <r>
      <rPr>
        <i val="true"/>
        <sz val="8"/>
        <color rgb="FFC00000"/>
        <rFont val="DejaVu Sans"/>
        <family val="2"/>
      </rPr>
      <t xml:space="preserve">조정대상지역 중과세율</t>
    </r>
    <r>
      <rPr>
        <i val="true"/>
        <sz val="8"/>
        <color rgb="FFC00000"/>
        <rFont val="맑은 고딕"/>
        <family val="0"/>
        <charset val="1"/>
      </rPr>
      <t xml:space="preserve">, </t>
    </r>
    <r>
      <rPr>
        <i val="true"/>
        <sz val="8"/>
        <color rgb="FFC00000"/>
        <rFont val="DejaVu Sans"/>
        <family val="2"/>
      </rPr>
      <t xml:space="preserve">감면특례 등은 반영되지 않았습니다</t>
    </r>
    <r>
      <rPr>
        <i val="true"/>
        <sz val="8"/>
        <color rgb="FFC00000"/>
        <rFont val="맑은 고딕"/>
        <family val="0"/>
        <charset val="1"/>
      </rPr>
      <t xml:space="preserve">. </t>
    </r>
    <r>
      <rPr>
        <i val="true"/>
        <sz val="8"/>
        <color rgb="FFC00000"/>
        <rFont val="DejaVu Sans"/>
        <family val="2"/>
      </rPr>
      <t xml:space="preserve">실제 납부금액은 관할 세무서</t>
    </r>
    <r>
      <rPr>
        <i val="true"/>
        <sz val="8"/>
        <color rgb="FFC00000"/>
        <rFont val="맑은 고딕"/>
        <family val="0"/>
        <charset val="1"/>
      </rPr>
      <t xml:space="preserve">·</t>
    </r>
    <r>
      <rPr>
        <i val="true"/>
        <sz val="8"/>
        <color rgb="FFC00000"/>
        <rFont val="DejaVu Sans"/>
        <family val="2"/>
      </rPr>
      <t xml:space="preserve">등기소에서 반드시 확인하세요</t>
    </r>
    <r>
      <rPr>
        <i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</si>
  <si>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14"/>
        <color rgb="FFFFFFFF"/>
        <rFont val="DejaVu Sans"/>
        <family val="2"/>
      </rPr>
      <t xml:space="preserve">👪 상속 </t>
    </r>
    <r>
      <rPr>
        <b val="true"/>
        <sz val="14"/>
        <color rgb="FFFFFFFF"/>
        <rFont val="맑은 고딕"/>
        <family val="0"/>
        <charset val="1"/>
      </rPr>
      <t xml:space="preserve">· </t>
    </r>
    <r>
      <rPr>
        <b val="true"/>
        <sz val="14"/>
        <color rgb="FFFFFFFF"/>
        <rFont val="DejaVu Sans"/>
        <family val="2"/>
      </rPr>
      <t xml:space="preserve">유언  공과금 </t>
    </r>
    <r>
      <rPr>
        <b val="true"/>
        <sz val="14"/>
        <color rgb="FFFFFFFF"/>
        <rFont val="맑은 고딕"/>
        <family val="0"/>
        <charset val="1"/>
      </rPr>
      <t xml:space="preserve">· </t>
    </r>
    <r>
      <rPr>
        <b val="true"/>
        <sz val="14"/>
        <color rgb="FFFFFFFF"/>
        <rFont val="DejaVu Sans"/>
        <family val="2"/>
      </rPr>
      <t xml:space="preserve">보수료 계산기</t>
    </r>
  </si>
  <si>
    <t xml:space="preserve">■ 입력 항목</t>
  </si>
  <si>
    <r>
      <rPr>
        <b val="true"/>
        <sz val="10"/>
        <color rgb="FF0070C0"/>
        <rFont val="DejaVu Sans"/>
        <family val="2"/>
      </rPr>
      <t xml:space="preserve">소유권이전</t>
    </r>
    <r>
      <rPr>
        <b val="true"/>
        <sz val="10"/>
        <color rgb="FF0070C0"/>
        <rFont val="맑은 고딕"/>
        <family val="0"/>
        <charset val="1"/>
      </rPr>
      <t xml:space="preserve">(</t>
    </r>
    <r>
      <rPr>
        <b val="true"/>
        <sz val="10"/>
        <color rgb="FF0070C0"/>
        <rFont val="DejaVu Sans"/>
        <family val="2"/>
      </rPr>
      <t xml:space="preserve">상속</t>
    </r>
    <r>
      <rPr>
        <b val="true"/>
        <sz val="10"/>
        <color rgb="FF0070C0"/>
        <rFont val="맑은 고딕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</si>
  <si>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부동산 과세표준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시가표준액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원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</si>
  <si>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i val="true"/>
        <sz val="8"/>
        <color rgb="FF7F7F7F"/>
        <rFont val="DejaVu Sans"/>
        <family val="2"/>
      </rPr>
      <t xml:space="preserve">공정가액 </t>
    </r>
    <r>
      <rPr>
        <i val="true"/>
        <sz val="8"/>
        <color rgb="FF7F7F7F"/>
        <rFont val="맑은 고딕"/>
        <family val="0"/>
        <charset val="1"/>
      </rPr>
      <t xml:space="preserve">or </t>
    </r>
    <r>
      <rPr>
        <i val="true"/>
        <sz val="8"/>
        <color rgb="FF7F7F7F"/>
        <rFont val="DejaVu Sans"/>
        <family val="2"/>
      </rPr>
      <t xml:space="preserve">시가표준액</t>
    </r>
  </si>
  <si>
    <t xml:space="preserve">주택</t>
  </si>
  <si>
    <t xml:space="preserve">상속 부동산 개수</t>
  </si>
  <si>
    <t xml:space="preserve">개별 부동산별로 기본 보수 가산</t>
  </si>
  <si>
    <r>
      <rPr>
        <sz val="10"/>
        <color rgb="FF000000"/>
        <rFont val="DejaVu Sans"/>
        <family val="2"/>
      </rPr>
      <t xml:space="preserve">현금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금융자산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있는 경우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</si>
  <si>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i val="true"/>
        <sz val="8"/>
        <color rgb="FF7F7F7F"/>
        <rFont val="DejaVu Sans"/>
        <family val="2"/>
      </rPr>
      <t xml:space="preserve">상속재산에 포함된 예금</t>
    </r>
    <r>
      <rPr>
        <i val="true"/>
        <sz val="8"/>
        <color rgb="FF7F7F7F"/>
        <rFont val="맑은 고딕"/>
        <family val="0"/>
        <charset val="1"/>
      </rPr>
      <t xml:space="preserve">·</t>
    </r>
    <r>
      <rPr>
        <i val="true"/>
        <sz val="8"/>
        <color rgb="FF7F7F7F"/>
        <rFont val="DejaVu Sans"/>
        <family val="2"/>
      </rPr>
      <t xml:space="preserve">주식 등</t>
    </r>
  </si>
  <si>
    <t xml:space="preserve">취득세</t>
  </si>
  <si>
    <r>
      <rPr>
        <i val="true"/>
        <sz val="8"/>
        <color rgb="FF595959"/>
        <rFont val="DejaVu Sans"/>
        <family val="2"/>
      </rPr>
      <t xml:space="preserve">상속</t>
    </r>
    <r>
      <rPr>
        <i val="true"/>
        <sz val="8"/>
        <color rgb="FF595959"/>
        <rFont val="맑은 고딕"/>
        <family val="0"/>
        <charset val="1"/>
      </rPr>
      <t xml:space="preserve">: 0.8% / </t>
    </r>
    <r>
      <rPr>
        <i val="true"/>
        <sz val="8"/>
        <color rgb="FF595959"/>
        <rFont val="DejaVu Sans"/>
        <family val="2"/>
      </rPr>
      <t xml:space="preserve">농지</t>
    </r>
    <r>
      <rPr>
        <i val="true"/>
        <sz val="8"/>
        <color rgb="FF595959"/>
        <rFont val="맑은 고딕"/>
        <family val="0"/>
        <charset val="1"/>
      </rPr>
      <t xml:space="preserve">: 0.3% / </t>
    </r>
    <r>
      <rPr>
        <i val="true"/>
        <sz val="8"/>
        <color rgb="FF595959"/>
        <rFont val="DejaVu Sans"/>
        <family val="2"/>
      </rPr>
      <t xml:space="preserve">유증</t>
    </r>
    <r>
      <rPr>
        <i val="true"/>
        <sz val="8"/>
        <color rgb="FF595959"/>
        <rFont val="맑은 고딕"/>
        <family val="0"/>
        <charset val="1"/>
      </rPr>
      <t xml:space="preserve">: 2.8%(</t>
    </r>
    <r>
      <rPr>
        <i val="true"/>
        <sz val="8"/>
        <color rgb="FF595959"/>
        <rFont val="DejaVu Sans"/>
        <family val="2"/>
      </rPr>
      <t xml:space="preserve">비주택기준</t>
    </r>
    <r>
      <rPr>
        <i val="true"/>
        <sz val="8"/>
        <color rgb="FF595959"/>
        <rFont val="맑은 고딕"/>
        <family val="0"/>
        <charset val="1"/>
      </rPr>
      <t xml:space="preserve">)</t>
    </r>
  </si>
  <si>
    <r>
      <rPr>
        <i val="true"/>
        <sz val="8"/>
        <color rgb="FF595959"/>
        <rFont val="DejaVu Sans"/>
        <family val="2"/>
      </rPr>
      <t xml:space="preserve">취득세</t>
    </r>
    <r>
      <rPr>
        <i val="true"/>
        <sz val="8"/>
        <color rgb="FF595959"/>
        <rFont val="맑은 고딕"/>
        <family val="0"/>
        <charset val="1"/>
      </rPr>
      <t xml:space="preserve">×10%</t>
    </r>
  </si>
  <si>
    <r>
      <rPr>
        <i val="true"/>
        <sz val="8"/>
        <color rgb="FF595959"/>
        <rFont val="DejaVu Sans"/>
        <family val="2"/>
      </rPr>
      <t xml:space="preserve">주택</t>
    </r>
    <r>
      <rPr>
        <i val="true"/>
        <sz val="8"/>
        <color rgb="FF595959"/>
        <rFont val="맑은 고딕"/>
        <family val="0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비과세 </t>
    </r>
    <r>
      <rPr>
        <i val="true"/>
        <sz val="8"/>
        <color rgb="FF595959"/>
        <rFont val="맑은 고딕"/>
        <family val="0"/>
        <charset val="1"/>
      </rPr>
      <t xml:space="preserve">/ </t>
    </r>
    <r>
      <rPr>
        <i val="true"/>
        <sz val="8"/>
        <color rgb="FF595959"/>
        <rFont val="DejaVu Sans"/>
        <family val="2"/>
      </rPr>
      <t xml:space="preserve">비주택</t>
    </r>
    <r>
      <rPr>
        <i val="true"/>
        <sz val="8"/>
        <color rgb="FF595959"/>
        <rFont val="맑은 고딕"/>
        <family val="0"/>
        <charset val="1"/>
      </rPr>
      <t xml:space="preserve">·</t>
    </r>
    <r>
      <rPr>
        <i val="true"/>
        <sz val="8"/>
        <color rgb="FF595959"/>
        <rFont val="DejaVu Sans"/>
        <family val="2"/>
      </rPr>
      <t xml:space="preserve">농지</t>
    </r>
    <r>
      <rPr>
        <i val="true"/>
        <sz val="8"/>
        <color rgb="FF595959"/>
        <rFont val="맑은 고딕"/>
        <family val="0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취득세</t>
    </r>
    <r>
      <rPr>
        <i val="true"/>
        <sz val="8"/>
        <color rgb="FF595959"/>
        <rFont val="맑은 고딕"/>
        <family val="0"/>
        <charset val="1"/>
      </rPr>
      <t xml:space="preserve">×10%</t>
    </r>
  </si>
  <si>
    <t xml:space="preserve">■ 법무사 보수료</t>
  </si>
  <si>
    <r>
      <rPr>
        <i val="true"/>
        <sz val="8"/>
        <color rgb="FF595959"/>
        <rFont val="DejaVu Sans"/>
        <family val="2"/>
      </rPr>
      <t xml:space="preserve">상속등기 기준 </t>
    </r>
    <r>
      <rPr>
        <i val="true"/>
        <sz val="8"/>
        <color rgb="FF595959"/>
        <rFont val="맑은 고딕"/>
        <family val="0"/>
        <charset val="1"/>
      </rPr>
      <t xml:space="preserve">/ </t>
    </r>
    <r>
      <rPr>
        <i val="true"/>
        <sz val="8"/>
        <color rgb="FF595959"/>
        <rFont val="DejaVu Sans"/>
        <family val="2"/>
      </rPr>
      <t xml:space="preserve">부동산 </t>
    </r>
    <r>
      <rPr>
        <i val="true"/>
        <sz val="8"/>
        <color rgb="FF595959"/>
        <rFont val="맑은 고딕"/>
        <family val="0"/>
        <charset val="1"/>
      </rPr>
      <t xml:space="preserve">2</t>
    </r>
    <r>
      <rPr>
        <i val="true"/>
        <sz val="8"/>
        <color rgb="FF595959"/>
        <rFont val="DejaVu Sans"/>
        <family val="2"/>
      </rPr>
      <t xml:space="preserve">개 이상시 추가 가산 </t>
    </r>
    <r>
      <rPr>
        <i val="true"/>
        <sz val="8"/>
        <color rgb="FF595959"/>
        <rFont val="맑은 고딕"/>
        <family val="0"/>
        <charset val="1"/>
      </rPr>
      <t xml:space="preserve">/ </t>
    </r>
    <r>
      <rPr>
        <i val="true"/>
        <sz val="8"/>
        <color rgb="FF595959"/>
        <rFont val="DejaVu Sans"/>
        <family val="2"/>
      </rPr>
      <t xml:space="preserve">유언공정증서 별도</t>
    </r>
  </si>
  <si>
    <r>
      <rPr>
        <i val="true"/>
        <sz val="8"/>
        <color rgb="FFC00000"/>
        <rFont val="DejaVu Sans"/>
        <family val="2"/>
      </rPr>
      <t xml:space="preserve">※ 유언공정증서 공증료</t>
    </r>
    <r>
      <rPr>
        <i val="true"/>
        <sz val="8"/>
        <color rgb="FFC00000"/>
        <rFont val="맑은 고딕"/>
        <family val="0"/>
        <charset val="1"/>
      </rPr>
      <t xml:space="preserve">(</t>
    </r>
    <r>
      <rPr>
        <i val="true"/>
        <sz val="8"/>
        <color rgb="FFC00000"/>
        <rFont val="DejaVu Sans"/>
        <family val="2"/>
      </rPr>
      <t xml:space="preserve">공증인가 법무법인 기준</t>
    </r>
    <r>
      <rPr>
        <i val="true"/>
        <sz val="8"/>
        <color rgb="FFC00000"/>
        <rFont val="맑은 고딕"/>
        <family val="0"/>
        <charset val="1"/>
      </rPr>
      <t xml:space="preserve">)</t>
    </r>
    <r>
      <rPr>
        <i val="true"/>
        <sz val="8"/>
        <color rgb="FFC00000"/>
        <rFont val="DejaVu Sans"/>
        <family val="2"/>
      </rPr>
      <t xml:space="preserve">는 별도입니다</t>
    </r>
    <r>
      <rPr>
        <i val="true"/>
        <sz val="8"/>
        <color rgb="FFC00000"/>
        <rFont val="맑은 고딕"/>
        <family val="0"/>
        <charset val="1"/>
      </rPr>
      <t xml:space="preserve">. </t>
    </r>
    <r>
      <rPr>
        <i val="true"/>
        <sz val="8"/>
        <color rgb="FFC00000"/>
        <rFont val="DejaVu Sans"/>
        <family val="2"/>
      </rPr>
      <t xml:space="preserve">상속포기</t>
    </r>
    <r>
      <rPr>
        <i val="true"/>
        <sz val="8"/>
        <color rgb="FFC00000"/>
        <rFont val="맑은 고딕"/>
        <family val="0"/>
        <charset val="1"/>
      </rPr>
      <t xml:space="preserve">·</t>
    </r>
    <r>
      <rPr>
        <i val="true"/>
        <sz val="8"/>
        <color rgb="FFC00000"/>
        <rFont val="DejaVu Sans"/>
        <family val="2"/>
      </rPr>
      <t xml:space="preserve">한정승인 신청</t>
    </r>
    <r>
      <rPr>
        <i val="true"/>
        <sz val="8"/>
        <color rgb="FFC00000"/>
        <rFont val="맑은 고딕"/>
        <family val="0"/>
        <charset val="1"/>
      </rPr>
      <t xml:space="preserve">(</t>
    </r>
    <r>
      <rPr>
        <i val="true"/>
        <sz val="8"/>
        <color rgb="FFC00000"/>
        <rFont val="DejaVu Sans"/>
        <family val="2"/>
      </rPr>
      <t xml:space="preserve">법원</t>
    </r>
    <r>
      <rPr>
        <i val="true"/>
        <sz val="8"/>
        <color rgb="FFC00000"/>
        <rFont val="맑은 고딕"/>
        <family val="0"/>
        <charset val="1"/>
      </rPr>
      <t xml:space="preserve">) </t>
    </r>
    <r>
      <rPr>
        <i val="true"/>
        <sz val="8"/>
        <color rgb="FFC00000"/>
        <rFont val="DejaVu Sans"/>
        <family val="2"/>
      </rPr>
      <t xml:space="preserve">인지대</t>
    </r>
    <r>
      <rPr>
        <i val="true"/>
        <sz val="8"/>
        <color rgb="FFC00000"/>
        <rFont val="맑은 고딕"/>
        <family val="0"/>
        <charset val="1"/>
      </rPr>
      <t xml:space="preserve">·</t>
    </r>
    <r>
      <rPr>
        <i val="true"/>
        <sz val="8"/>
        <color rgb="FFC00000"/>
        <rFont val="DejaVu Sans"/>
        <family val="2"/>
      </rPr>
      <t xml:space="preserve">송달료도 포함되지 않습니다</t>
    </r>
    <r>
      <rPr>
        <i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</si>
  <si>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14"/>
        <color rgb="FFFFFFFF"/>
        <rFont val="DejaVu Sans"/>
        <family val="2"/>
      </rPr>
      <t xml:space="preserve">🏢 법인 등기  공과금 </t>
    </r>
    <r>
      <rPr>
        <b val="true"/>
        <sz val="14"/>
        <color rgb="FFFFFFFF"/>
        <rFont val="맑은 고딕"/>
        <family val="0"/>
        <charset val="1"/>
      </rPr>
      <t xml:space="preserve">· </t>
    </r>
    <r>
      <rPr>
        <b val="true"/>
        <sz val="14"/>
        <color rgb="FFFFFFFF"/>
        <rFont val="DejaVu Sans"/>
        <family val="2"/>
      </rPr>
      <t xml:space="preserve">보수료 계산기</t>
    </r>
  </si>
  <si>
    <t xml:space="preserve">등기유형</t>
  </si>
  <si>
    <t xml:space="preserve">법인설립</t>
  </si>
  <si>
    <t xml:space="preserve">법인 유형</t>
  </si>
  <si>
    <t xml:space="preserve">주식회사</t>
  </si>
  <si>
    <r>
      <rPr>
        <sz val="10"/>
        <color rgb="FF000000"/>
        <rFont val="DejaVu Sans"/>
        <family val="2"/>
      </rPr>
      <t xml:space="preserve">자본금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증자금액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원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</si>
  <si>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i val="true"/>
        <sz val="8"/>
        <color rgb="FF7F7F7F"/>
        <rFont val="DejaVu Sans"/>
        <family val="2"/>
      </rPr>
      <t xml:space="preserve">설립</t>
    </r>
    <r>
      <rPr>
        <i val="true"/>
        <sz val="8"/>
        <color rgb="FF7F7F7F"/>
        <rFont val="맑은 고딕"/>
        <family val="0"/>
        <charset val="1"/>
      </rPr>
      <t xml:space="preserve">·</t>
    </r>
    <r>
      <rPr>
        <i val="true"/>
        <sz val="8"/>
        <color rgb="FF7F7F7F"/>
        <rFont val="DejaVu Sans"/>
        <family val="2"/>
      </rPr>
      <t xml:space="preserve">증자시 입력 </t>
    </r>
    <r>
      <rPr>
        <i val="true"/>
        <sz val="8"/>
        <color rgb="FF7F7F7F"/>
        <rFont val="맑은 고딕"/>
        <family val="0"/>
        <charset val="1"/>
      </rPr>
      <t xml:space="preserve">/ </t>
    </r>
    <r>
      <rPr>
        <i val="true"/>
        <sz val="8"/>
        <color rgb="FF7F7F7F"/>
        <rFont val="DejaVu Sans"/>
        <family val="2"/>
      </rPr>
      <t xml:space="preserve">기타 등기는 </t>
    </r>
    <r>
      <rPr>
        <i val="true"/>
        <sz val="8"/>
        <color rgb="FF7F7F7F"/>
        <rFont val="맑은 고딕"/>
        <family val="0"/>
        <charset val="1"/>
      </rPr>
      <t xml:space="preserve">0</t>
    </r>
  </si>
  <si>
    <r>
      <rPr>
        <sz val="10"/>
        <color rgb="FF000000"/>
        <rFont val="DejaVu Sans"/>
        <family val="2"/>
      </rPr>
      <t xml:space="preserve">임원 변경 인원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명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</si>
  <si>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임원변경 등기시 변경 인원수</t>
  </si>
  <si>
    <t xml:space="preserve">등록면허세</t>
  </si>
  <si>
    <r>
      <rPr>
        <i val="true"/>
        <sz val="8"/>
        <color rgb="FF595959"/>
        <rFont val="DejaVu Sans"/>
        <family val="2"/>
      </rPr>
      <t xml:space="preserve">설립</t>
    </r>
    <r>
      <rPr>
        <i val="true"/>
        <sz val="8"/>
        <color rgb="FF595959"/>
        <rFont val="맑은 고딕"/>
        <family val="0"/>
        <charset val="1"/>
      </rPr>
      <t xml:space="preserve">·</t>
    </r>
    <r>
      <rPr>
        <i val="true"/>
        <sz val="8"/>
        <color rgb="FF595959"/>
        <rFont val="DejaVu Sans"/>
        <family val="2"/>
      </rPr>
      <t xml:space="preserve">증자</t>
    </r>
    <r>
      <rPr>
        <i val="true"/>
        <sz val="8"/>
        <color rgb="FF595959"/>
        <rFont val="맑은 고딕"/>
        <family val="0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자본금</t>
    </r>
    <r>
      <rPr>
        <i val="true"/>
        <sz val="8"/>
        <color rgb="FF595959"/>
        <rFont val="맑은 고딕"/>
        <family val="0"/>
        <charset val="1"/>
      </rPr>
      <t xml:space="preserve">×0.4%(</t>
    </r>
    <r>
      <rPr>
        <i val="true"/>
        <sz val="8"/>
        <color rgb="FF595959"/>
        <rFont val="DejaVu Sans"/>
        <family val="2"/>
      </rPr>
      <t xml:space="preserve">최저</t>
    </r>
    <r>
      <rPr>
        <i val="true"/>
        <sz val="8"/>
        <color rgb="FF595959"/>
        <rFont val="맑은 고딕"/>
        <family val="0"/>
        <charset val="1"/>
      </rPr>
      <t xml:space="preserve">112,500) / </t>
    </r>
    <r>
      <rPr>
        <i val="true"/>
        <sz val="8"/>
        <color rgb="FF595959"/>
        <rFont val="DejaVu Sans"/>
        <family val="2"/>
      </rPr>
      <t xml:space="preserve">변경</t>
    </r>
    <r>
      <rPr>
        <i val="true"/>
        <sz val="8"/>
        <color rgb="FF595959"/>
        <rFont val="맑은 고딕"/>
        <family val="0"/>
        <charset val="1"/>
      </rPr>
      <t xml:space="preserve">: 40,200 / </t>
    </r>
    <r>
      <rPr>
        <i val="true"/>
        <sz val="8"/>
        <color rgb="FF595959"/>
        <rFont val="DejaVu Sans"/>
        <family val="2"/>
      </rPr>
      <t xml:space="preserve">관외이전</t>
    </r>
    <r>
      <rPr>
        <i val="true"/>
        <sz val="8"/>
        <color rgb="FF595959"/>
        <rFont val="맑은 고딕"/>
        <family val="0"/>
        <charset val="1"/>
      </rPr>
      <t xml:space="preserve">: 112,500</t>
    </r>
  </si>
  <si>
    <r>
      <rPr>
        <i val="true"/>
        <sz val="8"/>
        <color rgb="FF595959"/>
        <rFont val="DejaVu Sans"/>
        <family val="2"/>
      </rPr>
      <t xml:space="preserve">등록면허세</t>
    </r>
    <r>
      <rPr>
        <i val="true"/>
        <sz val="8"/>
        <color rgb="FF595959"/>
        <rFont val="맑은 고딕"/>
        <family val="0"/>
        <charset val="1"/>
      </rPr>
      <t xml:space="preserve">×20%</t>
    </r>
  </si>
  <si>
    <r>
      <rPr>
        <sz val="10"/>
        <color rgb="FF000000"/>
        <rFont val="DejaVu Sans"/>
        <family val="2"/>
      </rPr>
      <t xml:space="preserve">인지세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정관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DejaVu Sans"/>
        <family val="2"/>
      </rPr>
      <t xml:space="preserve">의사록 등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</si>
  <si>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i val="true"/>
        <sz val="8"/>
        <color rgb="FF595959"/>
        <rFont val="DejaVu Sans"/>
        <family val="2"/>
      </rPr>
      <t xml:space="preserve">설립</t>
    </r>
    <r>
      <rPr>
        <i val="true"/>
        <sz val="8"/>
        <color rgb="FF595959"/>
        <rFont val="맑은 고딕"/>
        <family val="0"/>
        <charset val="1"/>
      </rPr>
      <t xml:space="preserve">·</t>
    </r>
    <r>
      <rPr>
        <i val="true"/>
        <sz val="8"/>
        <color rgb="FF595959"/>
        <rFont val="DejaVu Sans"/>
        <family val="2"/>
      </rPr>
      <t xml:space="preserve">증자시 자본금 기준 </t>
    </r>
    <r>
      <rPr>
        <i val="true"/>
        <sz val="8"/>
        <color rgb="FF595959"/>
        <rFont val="맑은 고딕"/>
        <family val="0"/>
        <charset val="1"/>
      </rPr>
      <t xml:space="preserve">/ </t>
    </r>
    <r>
      <rPr>
        <i val="true"/>
        <sz val="8"/>
        <color rgb="FF595959"/>
        <rFont val="DejaVu Sans"/>
        <family val="2"/>
      </rPr>
      <t xml:space="preserve">기타등기</t>
    </r>
    <r>
      <rPr>
        <i val="true"/>
        <sz val="8"/>
        <color rgb="FF595959"/>
        <rFont val="맑은 고딕"/>
        <family val="0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해당없음</t>
    </r>
  </si>
  <si>
    <r>
      <rPr>
        <i val="true"/>
        <sz val="8"/>
        <color rgb="FF595959"/>
        <rFont val="DejaVu Sans"/>
        <family val="2"/>
      </rPr>
      <t xml:space="preserve">최저 </t>
    </r>
    <r>
      <rPr>
        <i val="true"/>
        <sz val="8"/>
        <color rgb="FF595959"/>
        <rFont val="맑은 고딕"/>
        <family val="0"/>
        <charset val="1"/>
      </rPr>
      <t xml:space="preserve">100,000</t>
    </r>
    <r>
      <rPr>
        <i val="true"/>
        <sz val="8"/>
        <color rgb="FF595959"/>
        <rFont val="DejaVu Sans"/>
        <family val="2"/>
      </rPr>
      <t xml:space="preserve">원 </t>
    </r>
    <r>
      <rPr>
        <i val="true"/>
        <sz val="8"/>
        <color rgb="FF595959"/>
        <rFont val="맑은 고딕"/>
        <family val="0"/>
        <charset val="1"/>
      </rPr>
      <t xml:space="preserve">/ </t>
    </r>
    <r>
      <rPr>
        <i val="true"/>
        <sz val="8"/>
        <color rgb="FF595959"/>
        <rFont val="DejaVu Sans"/>
        <family val="2"/>
      </rPr>
      <t xml:space="preserve">설립은 자본금 기준</t>
    </r>
  </si>
  <si>
    <r>
      <rPr>
        <i val="true"/>
        <sz val="8"/>
        <color rgb="FFC00000"/>
        <rFont val="DejaVu Sans"/>
        <family val="2"/>
      </rPr>
      <t xml:space="preserve">※ 등록면허세 최저액</t>
    </r>
    <r>
      <rPr>
        <i val="true"/>
        <sz val="8"/>
        <color rgb="FFC00000"/>
        <rFont val="맑은 고딕"/>
        <family val="0"/>
        <charset val="1"/>
      </rPr>
      <t xml:space="preserve">(112,500</t>
    </r>
    <r>
      <rPr>
        <i val="true"/>
        <sz val="8"/>
        <color rgb="FFC00000"/>
        <rFont val="DejaVu Sans"/>
        <family val="2"/>
      </rPr>
      <t xml:space="preserve">원 </t>
    </r>
    <r>
      <rPr>
        <i val="true"/>
        <sz val="8"/>
        <color rgb="FFC00000"/>
        <rFont val="맑은 고딕"/>
        <family val="0"/>
        <charset val="1"/>
      </rPr>
      <t xml:space="preserve">or 40,200</t>
    </r>
    <r>
      <rPr>
        <i val="true"/>
        <sz val="8"/>
        <color rgb="FFC00000"/>
        <rFont val="DejaVu Sans"/>
        <family val="2"/>
      </rPr>
      <t xml:space="preserve">원</t>
    </r>
    <r>
      <rPr>
        <i val="true"/>
        <sz val="8"/>
        <color rgb="FFC00000"/>
        <rFont val="맑은 고딕"/>
        <family val="0"/>
        <charset val="1"/>
      </rPr>
      <t xml:space="preserve">) </t>
    </r>
    <r>
      <rPr>
        <i val="true"/>
        <sz val="8"/>
        <color rgb="FFC00000"/>
        <rFont val="DejaVu Sans"/>
        <family val="2"/>
      </rPr>
      <t xml:space="preserve">적용</t>
    </r>
    <r>
      <rPr>
        <i val="true"/>
        <sz val="8"/>
        <color rgb="FFC00000"/>
        <rFont val="맑은 고딕"/>
        <family val="0"/>
        <charset val="1"/>
      </rPr>
      <t xml:space="preserve">. </t>
    </r>
    <r>
      <rPr>
        <i val="true"/>
        <sz val="8"/>
        <color rgb="FFC00000"/>
        <rFont val="DejaVu Sans"/>
        <family val="2"/>
      </rPr>
      <t xml:space="preserve">등기사항이 복수인 경우 사항별로 가산됩니다</t>
    </r>
    <r>
      <rPr>
        <i val="true"/>
        <sz val="8"/>
        <color rgb="FFC00000"/>
        <rFont val="맑은 고딕"/>
        <family val="0"/>
        <charset val="1"/>
      </rPr>
      <t xml:space="preserve">. </t>
    </r>
    <r>
      <rPr>
        <i val="true"/>
        <sz val="8"/>
        <color rgb="FFC00000"/>
        <rFont val="DejaVu Sans"/>
        <family val="2"/>
      </rPr>
      <t xml:space="preserve">실제 납부금액은 관할 등기소에서 확인하세요</t>
    </r>
    <r>
      <rPr>
        <i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</si>
  <si>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14"/>
        <color rgb="FFFFFFFF"/>
        <rFont val="DejaVu Sans"/>
        <family val="2"/>
      </rPr>
      <t xml:space="preserve">⚡ 민사집행 </t>
    </r>
    <r>
      <rPr>
        <b val="true"/>
        <sz val="14"/>
        <color rgb="FFFFFFFF"/>
        <rFont val="맑은 고딕"/>
        <family val="0"/>
        <charset val="1"/>
      </rPr>
      <t xml:space="preserve">· </t>
    </r>
    <r>
      <rPr>
        <b val="true"/>
        <sz val="14"/>
        <color rgb="FFFFFFFF"/>
        <rFont val="DejaVu Sans"/>
        <family val="2"/>
      </rPr>
      <t xml:space="preserve">채권  공과금 </t>
    </r>
    <r>
      <rPr>
        <b val="true"/>
        <sz val="14"/>
        <color rgb="FFFFFFFF"/>
        <rFont val="맑은 고딕"/>
        <family val="0"/>
        <charset val="1"/>
      </rPr>
      <t xml:space="preserve">· </t>
    </r>
    <r>
      <rPr>
        <b val="true"/>
        <sz val="14"/>
        <color rgb="FFFFFFFF"/>
        <rFont val="DejaVu Sans"/>
        <family val="2"/>
      </rPr>
      <t xml:space="preserve">보수료 계산기</t>
    </r>
  </si>
  <si>
    <t xml:space="preserve">사건 유형</t>
  </si>
  <si>
    <r>
      <rPr>
        <b val="true"/>
        <sz val="10"/>
        <color rgb="FF0070C0"/>
        <rFont val="DejaVu Sans"/>
        <family val="2"/>
      </rPr>
      <t xml:space="preserve">채권압류 및 추심</t>
    </r>
    <r>
      <rPr>
        <b val="true"/>
        <sz val="10"/>
        <color rgb="FF0070C0"/>
        <rFont val="맑은 고딕"/>
        <family val="0"/>
        <charset val="1"/>
      </rPr>
      <t xml:space="preserve">·</t>
    </r>
    <r>
      <rPr>
        <b val="true"/>
        <sz val="10"/>
        <color rgb="FF0070C0"/>
        <rFont val="DejaVu Sans"/>
        <family val="2"/>
      </rPr>
      <t xml:space="preserve">전부명령</t>
    </r>
  </si>
  <si>
    <r>
      <rPr>
        <sz val="10"/>
        <color rgb="FF000000"/>
        <rFont val="DejaVu Sans"/>
        <family val="2"/>
      </rPr>
      <t xml:space="preserve">청구금액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DejaVu Sans"/>
        <family val="2"/>
      </rPr>
      <t xml:space="preserve">채권금액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원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</si>
  <si>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당사자 수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원고</t>
    </r>
    <r>
      <rPr>
        <sz val="10"/>
        <color rgb="FF000000"/>
        <rFont val="맑은 고딕"/>
        <family val="0"/>
        <charset val="1"/>
      </rPr>
      <t xml:space="preserve">+</t>
    </r>
    <r>
      <rPr>
        <sz val="10"/>
        <color rgb="FF000000"/>
        <rFont val="DejaVu Sans"/>
        <family val="2"/>
      </rPr>
      <t xml:space="preserve">피고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DejaVu Sans"/>
        <family val="2"/>
      </rPr>
      <t xml:space="preserve">명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</si>
  <si>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송달료 계산 기준</t>
  </si>
  <si>
    <r>
      <rPr>
        <sz val="10"/>
        <color rgb="FF000000"/>
        <rFont val="DejaVu Sans"/>
        <family val="2"/>
      </rPr>
      <t xml:space="preserve">송달 회수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DejaVu Sans"/>
        <family val="2"/>
      </rPr>
      <t xml:space="preserve">기본 </t>
    </r>
    <r>
      <rPr>
        <sz val="10"/>
        <color rgb="FF000000"/>
        <rFont val="맑은 고딕"/>
        <family val="0"/>
        <charset val="1"/>
      </rPr>
      <t xml:space="preserve">10</t>
    </r>
    <r>
      <rPr>
        <sz val="10"/>
        <color rgb="FF000000"/>
        <rFont val="DejaVu Sans"/>
        <family val="2"/>
      </rPr>
      <t xml:space="preserve">회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</si>
  <si>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i val="true"/>
        <sz val="8"/>
        <color rgb="FF7F7F7F"/>
        <rFont val="DejaVu Sans"/>
        <family val="2"/>
      </rPr>
      <t xml:space="preserve">통상 </t>
    </r>
    <r>
      <rPr>
        <i val="true"/>
        <sz val="8"/>
        <color rgb="FF7F7F7F"/>
        <rFont val="맑은 고딕"/>
        <family val="0"/>
        <charset val="1"/>
      </rPr>
      <t xml:space="preserve">10</t>
    </r>
    <r>
      <rPr>
        <i val="true"/>
        <sz val="8"/>
        <color rgb="FF7F7F7F"/>
        <rFont val="DejaVu Sans"/>
        <family val="2"/>
      </rPr>
      <t xml:space="preserve">회분 예납</t>
    </r>
  </si>
  <si>
    <t xml:space="preserve">신청 인지액</t>
  </si>
  <si>
    <r>
      <rPr>
        <i val="true"/>
        <sz val="8"/>
        <color rgb="FF595959"/>
        <rFont val="DejaVu Sans"/>
        <family val="2"/>
      </rPr>
      <t xml:space="preserve">압류</t>
    </r>
    <r>
      <rPr>
        <i val="true"/>
        <sz val="8"/>
        <color rgb="FF595959"/>
        <rFont val="맑은 고딕"/>
        <family val="0"/>
        <charset val="1"/>
      </rPr>
      <t xml:space="preserve">·</t>
    </r>
    <r>
      <rPr>
        <i val="true"/>
        <sz val="8"/>
        <color rgb="FF595959"/>
        <rFont val="DejaVu Sans"/>
        <family val="2"/>
      </rPr>
      <t xml:space="preserve">경매</t>
    </r>
    <r>
      <rPr>
        <i val="true"/>
        <sz val="8"/>
        <color rgb="FF595959"/>
        <rFont val="맑은 고딕"/>
        <family val="0"/>
        <charset val="1"/>
      </rPr>
      <t xml:space="preserve">:</t>
    </r>
    <r>
      <rPr>
        <i val="true"/>
        <sz val="8"/>
        <color rgb="FF595959"/>
        <rFont val="DejaVu Sans"/>
        <family val="2"/>
      </rPr>
      <t xml:space="preserve">청구액</t>
    </r>
    <r>
      <rPr>
        <i val="true"/>
        <sz val="8"/>
        <color rgb="FF595959"/>
        <rFont val="맑은 고딕"/>
        <family val="0"/>
        <charset val="1"/>
      </rPr>
      <t xml:space="preserve">×0.04%(min1</t>
    </r>
    <r>
      <rPr>
        <i val="true"/>
        <sz val="8"/>
        <color rgb="FF595959"/>
        <rFont val="DejaVu Sans"/>
        <family val="2"/>
      </rPr>
      <t xml:space="preserve">만</t>
    </r>
    <r>
      <rPr>
        <i val="true"/>
        <sz val="8"/>
        <color rgb="FF595959"/>
        <rFont val="맑은 고딕"/>
        <family val="0"/>
        <charset val="1"/>
      </rPr>
      <t xml:space="preserve">,max50</t>
    </r>
    <r>
      <rPr>
        <i val="true"/>
        <sz val="8"/>
        <color rgb="FF595959"/>
        <rFont val="DejaVu Sans"/>
        <family val="2"/>
      </rPr>
      <t xml:space="preserve">만</t>
    </r>
    <r>
      <rPr>
        <i val="true"/>
        <sz val="8"/>
        <color rgb="FF595959"/>
        <rFont val="맑은 고딕"/>
        <family val="0"/>
        <charset val="1"/>
      </rPr>
      <t xml:space="preserve">) / </t>
    </r>
    <r>
      <rPr>
        <i val="true"/>
        <sz val="8"/>
        <color rgb="FF595959"/>
        <rFont val="DejaVu Sans"/>
        <family val="2"/>
      </rPr>
      <t xml:space="preserve">가압류</t>
    </r>
    <r>
      <rPr>
        <i val="true"/>
        <sz val="8"/>
        <color rgb="FF595959"/>
        <rFont val="맑은 고딕"/>
        <family val="0"/>
        <charset val="1"/>
      </rPr>
      <t xml:space="preserve">:×0.02% / </t>
    </r>
    <r>
      <rPr>
        <i val="true"/>
        <sz val="8"/>
        <color rgb="FF595959"/>
        <rFont val="DejaVu Sans"/>
        <family val="2"/>
      </rPr>
      <t xml:space="preserve">지급명령</t>
    </r>
    <r>
      <rPr>
        <i val="true"/>
        <sz val="8"/>
        <color rgb="FF595959"/>
        <rFont val="맑은 고딕"/>
        <family val="0"/>
        <charset val="1"/>
      </rPr>
      <t xml:space="preserve">:×0.005%</t>
    </r>
  </si>
  <si>
    <t xml:space="preserve">송달료 예납액</t>
  </si>
  <si>
    <r>
      <rPr>
        <i val="true"/>
        <sz val="8"/>
        <color rgb="FF595959"/>
        <rFont val="DejaVu Sans"/>
        <family val="2"/>
      </rPr>
      <t xml:space="preserve">당사자수 </t>
    </r>
    <r>
      <rPr>
        <i val="true"/>
        <sz val="8"/>
        <color rgb="FF595959"/>
        <rFont val="맑은 고딕"/>
        <family val="0"/>
        <charset val="1"/>
      </rPr>
      <t xml:space="preserve">× </t>
    </r>
    <r>
      <rPr>
        <i val="true"/>
        <sz val="8"/>
        <color rgb="FF595959"/>
        <rFont val="DejaVu Sans"/>
        <family val="2"/>
      </rPr>
      <t xml:space="preserve">회수 </t>
    </r>
    <r>
      <rPr>
        <i val="true"/>
        <sz val="8"/>
        <color rgb="FF595959"/>
        <rFont val="맑은 고딕"/>
        <family val="0"/>
        <charset val="1"/>
      </rPr>
      <t xml:space="preserve">× 3,700</t>
    </r>
    <r>
      <rPr>
        <i val="true"/>
        <sz val="8"/>
        <color rgb="FF595959"/>
        <rFont val="DejaVu Sans"/>
        <family val="2"/>
      </rPr>
      <t xml:space="preserve">원 </t>
    </r>
    <r>
      <rPr>
        <i val="true"/>
        <sz val="8"/>
        <color rgb="FF595959"/>
        <rFont val="맑은 고딕"/>
        <family val="0"/>
        <charset val="1"/>
      </rPr>
      <t xml:space="preserve">(2024 </t>
    </r>
    <r>
      <rPr>
        <i val="true"/>
        <sz val="8"/>
        <color rgb="FF595959"/>
        <rFont val="DejaVu Sans"/>
        <family val="2"/>
      </rPr>
      <t xml:space="preserve">기준</t>
    </r>
    <r>
      <rPr>
        <i val="true"/>
        <sz val="8"/>
        <color rgb="FF595959"/>
        <rFont val="맑은 고딕"/>
        <family val="0"/>
        <charset val="1"/>
      </rPr>
      <t xml:space="preserve">) ※ </t>
    </r>
    <r>
      <rPr>
        <i val="true"/>
        <sz val="8"/>
        <color rgb="FF595959"/>
        <rFont val="DejaVu Sans"/>
        <family val="2"/>
      </rPr>
      <t xml:space="preserve">법원별 상이</t>
    </r>
  </si>
  <si>
    <r>
      <rPr>
        <i val="true"/>
        <sz val="8"/>
        <color rgb="FF595959"/>
        <rFont val="DejaVu Sans"/>
        <family val="2"/>
      </rPr>
      <t xml:space="preserve">최저 </t>
    </r>
    <r>
      <rPr>
        <i val="true"/>
        <sz val="8"/>
        <color rgb="FF595959"/>
        <rFont val="맑은 고딕"/>
        <family val="0"/>
        <charset val="1"/>
      </rPr>
      <t xml:space="preserve">80,000</t>
    </r>
    <r>
      <rPr>
        <i val="true"/>
        <sz val="8"/>
        <color rgb="FF595959"/>
        <rFont val="DejaVu Sans"/>
        <family val="2"/>
      </rPr>
      <t xml:space="preserve">원</t>
    </r>
  </si>
  <si>
    <r>
      <rPr>
        <i val="true"/>
        <sz val="8"/>
        <color rgb="FFC00000"/>
        <rFont val="DejaVu Sans"/>
        <family val="2"/>
      </rPr>
      <t xml:space="preserve">※ 송달료는 법원에 따라 상이하며</t>
    </r>
    <r>
      <rPr>
        <i val="true"/>
        <sz val="8"/>
        <color rgb="FFC00000"/>
        <rFont val="맑은 고딕"/>
        <family val="0"/>
        <charset val="1"/>
      </rPr>
      <t xml:space="preserve">, </t>
    </r>
    <r>
      <rPr>
        <i val="true"/>
        <sz val="8"/>
        <color rgb="FFC00000"/>
        <rFont val="DejaVu Sans"/>
        <family val="2"/>
      </rPr>
      <t xml:space="preserve">회수 기준도 사건에 따라 달라집니다</t>
    </r>
    <r>
      <rPr>
        <i val="true"/>
        <sz val="8"/>
        <color rgb="FFC00000"/>
        <rFont val="맑은 고딕"/>
        <family val="0"/>
        <charset val="1"/>
      </rPr>
      <t xml:space="preserve">. </t>
    </r>
    <r>
      <rPr>
        <i val="true"/>
        <sz val="8"/>
        <color rgb="FFC00000"/>
        <rFont val="DejaVu Sans"/>
        <family val="2"/>
      </rPr>
      <t xml:space="preserve">경매 신청시 집행관 수수료</t>
    </r>
    <r>
      <rPr>
        <i val="true"/>
        <sz val="8"/>
        <color rgb="FFC00000"/>
        <rFont val="맑은 고딕"/>
        <family val="0"/>
        <charset val="1"/>
      </rPr>
      <t xml:space="preserve">·</t>
    </r>
    <r>
      <rPr>
        <i val="true"/>
        <sz val="8"/>
        <color rgb="FFC00000"/>
        <rFont val="DejaVu Sans"/>
        <family val="2"/>
      </rPr>
      <t xml:space="preserve">현황조사 비용 등 추가 비용이 발생합니다</t>
    </r>
    <r>
      <rPr>
        <i val="true"/>
        <sz val="8"/>
        <color rgb="FFC00000"/>
        <rFont val="맑은 고딕"/>
        <family val="0"/>
        <charset val="1"/>
      </rPr>
      <t xml:space="preserve">.</t>
    </r>
  </si>
  <si>
    <r>
      <rPr>
        <b val="true"/>
        <sz val="14"/>
        <color rgb="FFFFFFFF"/>
        <rFont val="DejaVu Sans"/>
        <family val="2"/>
      </rPr>
      <t xml:space="preserve">📋 세율 </t>
    </r>
    <r>
      <rPr>
        <b val="true"/>
        <sz val="14"/>
        <color rgb="FFFFFFFF"/>
        <rFont val="맑은 고딕"/>
        <family val="0"/>
        <charset val="1"/>
      </rPr>
      <t xml:space="preserve">· </t>
    </r>
    <r>
      <rPr>
        <b val="true"/>
        <sz val="14"/>
        <color rgb="FFFFFFFF"/>
        <rFont val="DejaVu Sans"/>
        <family val="2"/>
      </rPr>
      <t xml:space="preserve">보수료 기준표  </t>
    </r>
    <r>
      <rPr>
        <b val="true"/>
        <sz val="14"/>
        <color rgb="FFFFFFFF"/>
        <rFont val="맑은 고딕"/>
        <family val="0"/>
        <charset val="1"/>
      </rPr>
      <t xml:space="preserve">(</t>
    </r>
    <r>
      <rPr>
        <b val="true"/>
        <sz val="14"/>
        <color rgb="FFFFFFFF"/>
        <rFont val="DejaVu Sans"/>
        <family val="2"/>
      </rPr>
      <t xml:space="preserve">법령 개정시 업데이트</t>
    </r>
    <r>
      <rPr>
        <b val="true"/>
        <sz val="14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</si>
  <si>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1F3864"/>
        <rFont val="DejaVu Sans"/>
        <family val="2"/>
      </rPr>
      <t xml:space="preserve">■ 취득세 세율 </t>
    </r>
    <r>
      <rPr>
        <b val="true"/>
        <sz val="10"/>
        <color rgb="FF1F3864"/>
        <rFont val="맑은 고딕"/>
        <family val="0"/>
        <charset val="1"/>
      </rPr>
      <t xml:space="preserve">(2024</t>
    </r>
    <r>
      <rPr>
        <b val="true"/>
        <sz val="10"/>
        <color rgb="FF1F3864"/>
        <rFont val="DejaVu Sans"/>
        <family val="2"/>
      </rPr>
      <t xml:space="preserve">년 기준</t>
    </r>
    <r>
      <rPr>
        <b val="true"/>
        <sz val="10"/>
        <color rgb="FF1F3864"/>
        <rFont val="맑은 고딕"/>
        <family val="0"/>
        <charset val="1"/>
      </rPr>
      <t xml:space="preserve">)</t>
    </r>
  </si>
  <si>
    <t xml:space="preserve">구분</t>
  </si>
  <si>
    <t xml:space="preserve">세율</t>
  </si>
  <si>
    <t xml:space="preserve">비고</t>
  </si>
  <si>
    <r>
      <rPr>
        <sz val="9"/>
        <color rgb="FF000000"/>
        <rFont val="DejaVu Sans"/>
        <family val="2"/>
      </rPr>
      <t xml:space="preserve">소유권이전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매매</t>
    </r>
    <r>
      <rPr>
        <sz val="9"/>
        <color rgb="FF000000"/>
        <rFont val="맑은 고딕"/>
        <family val="0"/>
        <charset val="1"/>
      </rPr>
      <t xml:space="preserve">) - </t>
    </r>
    <r>
      <rPr>
        <sz val="9"/>
        <color rgb="FF000000"/>
        <rFont val="DejaVu Sans"/>
        <family val="2"/>
      </rPr>
      <t xml:space="preserve">주택 </t>
    </r>
    <r>
      <rPr>
        <sz val="9"/>
        <color rgb="FF000000"/>
        <rFont val="맑은 고딕"/>
        <family val="0"/>
        <charset val="1"/>
      </rPr>
      <t xml:space="preserve">6</t>
    </r>
    <r>
      <rPr>
        <sz val="9"/>
        <color rgb="FF000000"/>
        <rFont val="DejaVu Sans"/>
        <family val="2"/>
      </rPr>
      <t xml:space="preserve">억이하</t>
    </r>
  </si>
  <si>
    <t xml:space="preserve">1%</t>
  </si>
  <si>
    <r>
      <rPr>
        <i val="true"/>
        <sz val="9"/>
        <color rgb="FF595959"/>
        <rFont val="맑은 고딕"/>
        <family val="0"/>
        <charset val="1"/>
      </rPr>
      <t xml:space="preserve">1</t>
    </r>
    <r>
      <rPr>
        <i val="true"/>
        <sz val="9"/>
        <color rgb="FF595959"/>
        <rFont val="DejaVu Sans"/>
        <family val="2"/>
      </rPr>
      <t xml:space="preserve">주택자 기준</t>
    </r>
  </si>
  <si>
    <r>
      <rPr>
        <sz val="9"/>
        <color rgb="FF000000"/>
        <rFont val="DejaVu Sans"/>
        <family val="2"/>
      </rPr>
      <t xml:space="preserve">소유권이전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매매</t>
    </r>
    <r>
      <rPr>
        <sz val="9"/>
        <color rgb="FF000000"/>
        <rFont val="맑은 고딕"/>
        <family val="0"/>
        <charset val="1"/>
      </rPr>
      <t xml:space="preserve">) - </t>
    </r>
    <r>
      <rPr>
        <sz val="9"/>
        <color rgb="FF000000"/>
        <rFont val="DejaVu Sans"/>
        <family val="2"/>
      </rPr>
      <t xml:space="preserve">주택 </t>
    </r>
    <r>
      <rPr>
        <sz val="9"/>
        <color rgb="FF000000"/>
        <rFont val="맑은 고딕"/>
        <family val="0"/>
        <charset val="1"/>
      </rPr>
      <t xml:space="preserve">6~9</t>
    </r>
    <r>
      <rPr>
        <sz val="9"/>
        <color rgb="FF000000"/>
        <rFont val="DejaVu Sans"/>
        <family val="2"/>
      </rPr>
      <t xml:space="preserve">억</t>
    </r>
  </si>
  <si>
    <r>
      <rPr>
        <sz val="9"/>
        <color rgb="FF000000"/>
        <rFont val="DejaVu Sans"/>
        <family val="2"/>
      </rPr>
      <t xml:space="preserve">누진세율 </t>
    </r>
    <r>
      <rPr>
        <sz val="9"/>
        <color rgb="FF000000"/>
        <rFont val="맑은 고딕"/>
        <family val="0"/>
        <charset val="1"/>
      </rPr>
      <t xml:space="preserve">(1~3%)</t>
    </r>
  </si>
  <si>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DejaVu Sans"/>
        <family val="2"/>
      </rPr>
      <t xml:space="preserve">취득가액</t>
    </r>
    <r>
      <rPr>
        <i val="true"/>
        <sz val="9"/>
        <color rgb="FF595959"/>
        <rFont val="맑은 고딕"/>
        <family val="0"/>
        <charset val="1"/>
      </rPr>
      <t xml:space="preserve">×2/3</t>
    </r>
    <r>
      <rPr>
        <i val="true"/>
        <sz val="9"/>
        <color rgb="FF595959"/>
        <rFont val="DejaVu Sans"/>
        <family val="2"/>
      </rPr>
      <t xml:space="preserve">억</t>
    </r>
    <r>
      <rPr>
        <i val="true"/>
        <sz val="9"/>
        <color rgb="FF595959"/>
        <rFont val="맑은 고딕"/>
        <family val="0"/>
        <charset val="1"/>
      </rPr>
      <t xml:space="preserve">-3)%</t>
    </r>
  </si>
  <si>
    <r>
      <rPr>
        <sz val="9"/>
        <color rgb="FF000000"/>
        <rFont val="DejaVu Sans"/>
        <family val="2"/>
      </rPr>
      <t xml:space="preserve">소유권이전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매매</t>
    </r>
    <r>
      <rPr>
        <sz val="9"/>
        <color rgb="FF000000"/>
        <rFont val="맑은 고딕"/>
        <family val="0"/>
        <charset val="1"/>
      </rPr>
      <t xml:space="preserve">) - </t>
    </r>
    <r>
      <rPr>
        <sz val="9"/>
        <color rgb="FF000000"/>
        <rFont val="DejaVu Sans"/>
        <family val="2"/>
      </rPr>
      <t xml:space="preserve">주택 </t>
    </r>
    <r>
      <rPr>
        <sz val="9"/>
        <color rgb="FF000000"/>
        <rFont val="맑은 고딕"/>
        <family val="0"/>
        <charset val="1"/>
      </rPr>
      <t xml:space="preserve">9</t>
    </r>
    <r>
      <rPr>
        <sz val="9"/>
        <color rgb="FF000000"/>
        <rFont val="DejaVu Sans"/>
        <family val="2"/>
      </rPr>
      <t xml:space="preserve">억초과</t>
    </r>
  </si>
  <si>
    <t xml:space="preserve">3%</t>
  </si>
  <si>
    <r>
      <rPr>
        <sz val="9"/>
        <color rgb="FF000000"/>
        <rFont val="DejaVu Sans"/>
        <family val="2"/>
      </rPr>
      <t xml:space="preserve">소유권이전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매매</t>
    </r>
    <r>
      <rPr>
        <sz val="9"/>
        <color rgb="FF000000"/>
        <rFont val="맑은 고딕"/>
        <family val="0"/>
        <charset val="1"/>
      </rPr>
      <t xml:space="preserve">) - </t>
    </r>
    <r>
      <rPr>
        <sz val="9"/>
        <color rgb="FF000000"/>
        <rFont val="DejaVu Sans"/>
        <family val="2"/>
      </rPr>
      <t xml:space="preserve">비주택</t>
    </r>
  </si>
  <si>
    <t xml:space="preserve">4%</t>
  </si>
  <si>
    <r>
      <rPr>
        <sz val="9"/>
        <color rgb="FF000000"/>
        <rFont val="DejaVu Sans"/>
        <family val="2"/>
      </rPr>
      <t xml:space="preserve">소유권이전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매매</t>
    </r>
    <r>
      <rPr>
        <sz val="9"/>
        <color rgb="FF000000"/>
        <rFont val="맑은 고딕"/>
        <family val="0"/>
        <charset val="1"/>
      </rPr>
      <t xml:space="preserve">) - </t>
    </r>
    <r>
      <rPr>
        <sz val="9"/>
        <color rgb="FF000000"/>
        <rFont val="DejaVu Sans"/>
        <family val="2"/>
      </rPr>
      <t xml:space="preserve">농지</t>
    </r>
  </si>
  <si>
    <r>
      <rPr>
        <sz val="9"/>
        <color rgb="FF000000"/>
        <rFont val="DejaVu Sans"/>
        <family val="2"/>
      </rPr>
      <t xml:space="preserve">소유권이전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증여</t>
    </r>
    <r>
      <rPr>
        <sz val="9"/>
        <color rgb="FF000000"/>
        <rFont val="맑은 고딕"/>
        <family val="0"/>
        <charset val="1"/>
      </rPr>
      <t xml:space="preserve">)</t>
    </r>
  </si>
  <si>
    <t xml:space="preserve">3.5%</t>
  </si>
  <si>
    <r>
      <rPr>
        <sz val="9"/>
        <color rgb="FF000000"/>
        <rFont val="DejaVu Sans"/>
        <family val="2"/>
      </rPr>
      <t xml:space="preserve">소유권이전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상속</t>
    </r>
    <r>
      <rPr>
        <sz val="9"/>
        <color rgb="FF000000"/>
        <rFont val="맑은 고딕"/>
        <family val="0"/>
        <charset val="1"/>
      </rPr>
      <t xml:space="preserve">) - </t>
    </r>
    <r>
      <rPr>
        <sz val="9"/>
        <color rgb="FF000000"/>
        <rFont val="DejaVu Sans"/>
        <family val="2"/>
      </rPr>
      <t xml:space="preserve">일반</t>
    </r>
  </si>
  <si>
    <t xml:space="preserve">0.8%</t>
  </si>
  <si>
    <r>
      <rPr>
        <sz val="9"/>
        <color rgb="FF000000"/>
        <rFont val="DejaVu Sans"/>
        <family val="2"/>
      </rPr>
      <t xml:space="preserve">소유권이전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DejaVu Sans"/>
        <family val="2"/>
      </rPr>
      <t xml:space="preserve">상속</t>
    </r>
    <r>
      <rPr>
        <sz val="9"/>
        <color rgb="FF000000"/>
        <rFont val="맑은 고딕"/>
        <family val="0"/>
        <charset val="1"/>
      </rPr>
      <t xml:space="preserve">) - </t>
    </r>
    <r>
      <rPr>
        <sz val="9"/>
        <color rgb="FF000000"/>
        <rFont val="DejaVu Sans"/>
        <family val="2"/>
      </rPr>
      <t xml:space="preserve">농지</t>
    </r>
  </si>
  <si>
    <t xml:space="preserve">0.3%</t>
  </si>
  <si>
    <r>
      <rPr>
        <sz val="9"/>
        <color rgb="FF000000"/>
        <rFont val="DejaVu Sans"/>
        <family val="2"/>
      </rPr>
      <t xml:space="preserve">근저당권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DejaVu Sans"/>
        <family val="2"/>
      </rPr>
      <t xml:space="preserve">전세권 설정</t>
    </r>
  </si>
  <si>
    <t xml:space="preserve">0.2%</t>
  </si>
  <si>
    <t xml:space="preserve">채권최고액 기준</t>
  </si>
  <si>
    <t xml:space="preserve">소유권보존</t>
  </si>
  <si>
    <r>
      <rPr>
        <b val="true"/>
        <sz val="10"/>
        <color rgb="FF1F3864"/>
        <rFont val="DejaVu Sans"/>
        <family val="2"/>
      </rPr>
      <t xml:space="preserve">■ 법무사 보수료 기준 </t>
    </r>
    <r>
      <rPr>
        <b val="true"/>
        <sz val="10"/>
        <color rgb="FF1F3864"/>
        <rFont val="맑은 고딕"/>
        <family val="0"/>
        <charset val="1"/>
      </rPr>
      <t xml:space="preserve">(</t>
    </r>
    <r>
      <rPr>
        <b val="true"/>
        <sz val="10"/>
        <color rgb="FF1F3864"/>
        <rFont val="DejaVu Sans"/>
        <family val="2"/>
      </rPr>
      <t xml:space="preserve">부동산 이전등기</t>
    </r>
    <r>
      <rPr>
        <b val="true"/>
        <sz val="10"/>
        <color rgb="FF1F3864"/>
        <rFont val="맑은 고딕"/>
        <family val="0"/>
        <charset val="1"/>
      </rPr>
      <t xml:space="preserve">, 2024)</t>
    </r>
  </si>
  <si>
    <t xml:space="preserve">과세표준 구간</t>
  </si>
  <si>
    <t xml:space="preserve">기본보수</t>
  </si>
  <si>
    <t xml:space="preserve">추가요율</t>
  </si>
  <si>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DejaVu Sans"/>
        <family val="2"/>
      </rPr>
      <t xml:space="preserve">천만원 이하</t>
    </r>
  </si>
  <si>
    <r>
      <rPr>
        <sz val="9"/>
        <color rgb="FF000000"/>
        <rFont val="맑은 고딕"/>
        <family val="0"/>
        <charset val="1"/>
      </rPr>
      <t xml:space="preserve">100,000</t>
    </r>
    <r>
      <rPr>
        <sz val="9"/>
        <color rgb="FF000000"/>
        <rFont val="DejaVu Sans"/>
        <family val="2"/>
      </rPr>
      <t xml:space="preserve">원</t>
    </r>
  </si>
  <si>
    <t xml:space="preserve">-</t>
  </si>
  <si>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DejaVu Sans"/>
        <family val="2"/>
      </rPr>
      <t xml:space="preserve">천만원 초과 </t>
    </r>
    <r>
      <rPr>
        <sz val="9"/>
        <color rgb="FF000000"/>
        <rFont val="맑은 고딕"/>
        <family val="0"/>
        <charset val="1"/>
      </rPr>
      <t xml:space="preserve">~ 5</t>
    </r>
    <r>
      <rPr>
        <sz val="9"/>
        <color rgb="FF000000"/>
        <rFont val="DejaVu Sans"/>
        <family val="2"/>
      </rPr>
      <t xml:space="preserve">천만원</t>
    </r>
  </si>
  <si>
    <r>
      <rPr>
        <sz val="9"/>
        <color rgb="FF000000"/>
        <rFont val="DejaVu Sans"/>
        <family val="2"/>
      </rPr>
      <t xml:space="preserve">초과액 </t>
    </r>
    <r>
      <rPr>
        <sz val="9"/>
        <color rgb="FF000000"/>
        <rFont val="맑은 고딕"/>
        <family val="0"/>
        <charset val="1"/>
      </rPr>
      <t xml:space="preserve">× 0.4%</t>
    </r>
  </si>
  <si>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DejaVu Sans"/>
        <family val="2"/>
      </rPr>
      <t xml:space="preserve">천만원 초과 </t>
    </r>
    <r>
      <rPr>
        <sz val="9"/>
        <color rgb="FF000000"/>
        <rFont val="맑은 고딕"/>
        <family val="0"/>
        <charset val="1"/>
      </rPr>
      <t xml:space="preserve">~ 1</t>
    </r>
    <r>
      <rPr>
        <sz val="9"/>
        <color rgb="FF000000"/>
        <rFont val="DejaVu Sans"/>
        <family val="2"/>
      </rPr>
      <t xml:space="preserve">억원</t>
    </r>
  </si>
  <si>
    <r>
      <rPr>
        <sz val="9"/>
        <color rgb="FF000000"/>
        <rFont val="맑은 고딕"/>
        <family val="0"/>
        <charset val="1"/>
      </rPr>
      <t xml:space="preserve">180,000</t>
    </r>
    <r>
      <rPr>
        <sz val="9"/>
        <color rgb="FF000000"/>
        <rFont val="DejaVu Sans"/>
        <family val="2"/>
      </rPr>
      <t xml:space="preserve">원</t>
    </r>
  </si>
  <si>
    <r>
      <rPr>
        <sz val="9"/>
        <color rgb="FF000000"/>
        <rFont val="DejaVu Sans"/>
        <family val="2"/>
      </rPr>
      <t xml:space="preserve">초과액 </t>
    </r>
    <r>
      <rPr>
        <sz val="9"/>
        <color rgb="FF000000"/>
        <rFont val="맑은 고딕"/>
        <family val="0"/>
        <charset val="1"/>
      </rPr>
      <t xml:space="preserve">× 0.3%</t>
    </r>
  </si>
  <si>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DejaVu Sans"/>
        <family val="2"/>
      </rPr>
      <t xml:space="preserve">억원 초과 </t>
    </r>
    <r>
      <rPr>
        <sz val="9"/>
        <color rgb="FF000000"/>
        <rFont val="맑은 고딕"/>
        <family val="0"/>
        <charset val="1"/>
      </rPr>
      <t xml:space="preserve">~ 5</t>
    </r>
    <r>
      <rPr>
        <sz val="9"/>
        <color rgb="FF000000"/>
        <rFont val="DejaVu Sans"/>
        <family val="2"/>
      </rPr>
      <t xml:space="preserve">억원</t>
    </r>
  </si>
  <si>
    <r>
      <rPr>
        <sz val="9"/>
        <color rgb="FF000000"/>
        <rFont val="맑은 고딕"/>
        <family val="0"/>
        <charset val="1"/>
      </rPr>
      <t xml:space="preserve">330,000</t>
    </r>
    <r>
      <rPr>
        <sz val="9"/>
        <color rgb="FF000000"/>
        <rFont val="DejaVu Sans"/>
        <family val="2"/>
      </rPr>
      <t xml:space="preserve">원</t>
    </r>
  </si>
  <si>
    <r>
      <rPr>
        <sz val="9"/>
        <color rgb="FF000000"/>
        <rFont val="DejaVu Sans"/>
        <family val="2"/>
      </rPr>
      <t xml:space="preserve">초과액 </t>
    </r>
    <r>
      <rPr>
        <sz val="9"/>
        <color rgb="FF000000"/>
        <rFont val="맑은 고딕"/>
        <family val="0"/>
        <charset val="1"/>
      </rPr>
      <t xml:space="preserve">× 0.2%</t>
    </r>
  </si>
  <si>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DejaVu Sans"/>
        <family val="2"/>
      </rPr>
      <t xml:space="preserve">억원 초과 </t>
    </r>
    <r>
      <rPr>
        <sz val="9"/>
        <color rgb="FF000000"/>
        <rFont val="맑은 고딕"/>
        <family val="0"/>
        <charset val="1"/>
      </rPr>
      <t xml:space="preserve">~ 10</t>
    </r>
    <r>
      <rPr>
        <sz val="9"/>
        <color rgb="FF000000"/>
        <rFont val="DejaVu Sans"/>
        <family val="2"/>
      </rPr>
      <t xml:space="preserve">억원</t>
    </r>
  </si>
  <si>
    <r>
      <rPr>
        <sz val="9"/>
        <color rgb="FF000000"/>
        <rFont val="맑은 고딕"/>
        <family val="0"/>
        <charset val="1"/>
      </rPr>
      <t xml:space="preserve">1,130,000</t>
    </r>
    <r>
      <rPr>
        <sz val="9"/>
        <color rgb="FF000000"/>
        <rFont val="DejaVu Sans"/>
        <family val="2"/>
      </rPr>
      <t xml:space="preserve">원</t>
    </r>
  </si>
  <si>
    <r>
      <rPr>
        <sz val="9"/>
        <color rgb="FF000000"/>
        <rFont val="DejaVu Sans"/>
        <family val="2"/>
      </rPr>
      <t xml:space="preserve">초과액 </t>
    </r>
    <r>
      <rPr>
        <sz val="9"/>
        <color rgb="FF000000"/>
        <rFont val="맑은 고딕"/>
        <family val="0"/>
        <charset val="1"/>
      </rPr>
      <t xml:space="preserve">× 0.1%</t>
    </r>
  </si>
  <si>
    <r>
      <rPr>
        <sz val="9"/>
        <color rgb="FF000000"/>
        <rFont val="맑은 고딕"/>
        <family val="0"/>
        <charset val="1"/>
      </rPr>
      <t xml:space="preserve">10</t>
    </r>
    <r>
      <rPr>
        <sz val="9"/>
        <color rgb="FF000000"/>
        <rFont val="DejaVu Sans"/>
        <family val="2"/>
      </rPr>
      <t xml:space="preserve">억원 초과</t>
    </r>
  </si>
  <si>
    <r>
      <rPr>
        <sz val="9"/>
        <color rgb="FF000000"/>
        <rFont val="맑은 고딕"/>
        <family val="0"/>
        <charset val="1"/>
      </rPr>
      <t xml:space="preserve">1,630,000</t>
    </r>
    <r>
      <rPr>
        <sz val="9"/>
        <color rgb="FF000000"/>
        <rFont val="DejaVu Sans"/>
        <family val="2"/>
      </rPr>
      <t xml:space="preserve">원</t>
    </r>
  </si>
  <si>
    <r>
      <rPr>
        <sz val="9"/>
        <color rgb="FF000000"/>
        <rFont val="DejaVu Sans"/>
        <family val="2"/>
      </rPr>
      <t xml:space="preserve">초과액 </t>
    </r>
    <r>
      <rPr>
        <sz val="9"/>
        <color rgb="FF000000"/>
        <rFont val="맑은 고딕"/>
        <family val="0"/>
        <charset val="1"/>
      </rPr>
      <t xml:space="preserve">× 0.07%</t>
    </r>
  </si>
  <si>
    <r>
      <rPr>
        <i val="true"/>
        <sz val="8"/>
        <color rgb="FFC00000"/>
        <rFont val="DejaVu Sans"/>
        <family val="2"/>
      </rPr>
      <t xml:space="preserve">※ 위 보수료는 참고 기준이며</t>
    </r>
    <r>
      <rPr>
        <i val="true"/>
        <sz val="8"/>
        <color rgb="FFC00000"/>
        <rFont val="맑은 고딕"/>
        <family val="0"/>
        <charset val="1"/>
      </rPr>
      <t xml:space="preserve">, </t>
    </r>
    <r>
      <rPr>
        <i val="true"/>
        <sz val="8"/>
        <color rgb="FFC00000"/>
        <rFont val="DejaVu Sans"/>
        <family val="2"/>
      </rPr>
      <t xml:space="preserve">대한법무사협회 보수규정 및 개정사항을 반드시 확인하세요</t>
    </r>
    <r>
      <rPr>
        <i val="true"/>
        <sz val="8"/>
        <color rgb="FFC00000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</si>
</sst>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DejaVu Sans"/>
      <family val="2"/>
    </font>
    <font>
      <b val="true"/>
      <sz val="17"/>
      <color rgb="FFFFFFFF"/>
      <name val="맑은 고딕"/>
      <family val="0"/>
      <charset val="1"/>
    </font>
    <font>
      <b val="true"/>
      <sz val="11"/>
      <color rgb="FFFFFFFF"/>
      <name val="DejaVu Sans"/>
      <family val="2"/>
    </font>
    <font>
      <sz val="10"/>
      <color rgb="FF1F3864"/>
      <name val="DejaVu Sans"/>
      <family val="2"/>
    </font>
    <font>
      <sz val="10"/>
      <color rgb="FF1F3864"/>
      <name val="맑은 고딕"/>
      <family val="0"/>
      <charset val="1"/>
    </font>
    <font>
      <i val="true"/>
      <sz val="9"/>
      <color rgb="FF7F7F7F"/>
      <name val="DejaVu Sans"/>
      <family val="2"/>
    </font>
    <font>
      <b val="true"/>
      <sz val="11"/>
      <color rgb="FFFFFFFF"/>
      <name val="맑은 고딕"/>
      <family val="0"/>
      <charset val="1"/>
    </font>
    <font>
      <i val="true"/>
      <sz val="9"/>
      <color rgb="FFC00000"/>
      <name val="DejaVu Sans"/>
      <family val="2"/>
    </font>
    <font>
      <i val="true"/>
      <sz val="9"/>
      <color rgb="FFC00000"/>
      <name val="맑은 고딕"/>
      <family val="0"/>
      <charset val="1"/>
    </font>
    <font>
      <b val="true"/>
      <sz val="14"/>
      <color rgb="FFFFFFFF"/>
      <name val="DejaVu Sans"/>
      <family val="2"/>
    </font>
    <font>
      <b val="true"/>
      <sz val="14"/>
      <color rgb="FFFFFFFF"/>
      <name val="맑은 고딕"/>
      <family val="0"/>
      <charset val="1"/>
    </font>
    <font>
      <b val="true"/>
      <sz val="10"/>
      <color rgb="FF1F3864"/>
      <name val="DejaVu Sans"/>
      <family val="2"/>
    </font>
    <font>
      <b val="true"/>
      <sz val="10"/>
      <color rgb="FF1F3864"/>
      <name val="맑은 고딕"/>
      <family val="0"/>
      <charset val="1"/>
    </font>
    <font>
      <sz val="10"/>
      <color rgb="FF000000"/>
      <name val="DejaVu Sans"/>
      <family val="2"/>
    </font>
    <font>
      <b val="true"/>
      <sz val="10"/>
      <color rgb="FF0070C0"/>
      <name val="DejaVu Sans"/>
      <family val="2"/>
    </font>
    <font>
      <b val="true"/>
      <sz val="10"/>
      <color rgb="FF0070C0"/>
      <name val="맑은 고딕"/>
      <family val="0"/>
      <charset val="1"/>
    </font>
    <font>
      <i val="true"/>
      <sz val="8"/>
      <color rgb="FF7F7F7F"/>
      <name val="DejaVu Sans"/>
      <family val="2"/>
    </font>
    <font>
      <i val="true"/>
      <sz val="8"/>
      <color rgb="FF7F7F7F"/>
      <name val="맑은 고딕"/>
      <family val="0"/>
      <charset val="1"/>
    </font>
    <font>
      <sz val="10"/>
      <color rgb="FF000000"/>
      <name val="맑은 고딕"/>
      <family val="0"/>
      <charset val="1"/>
    </font>
    <font>
      <i val="true"/>
      <sz val="8"/>
      <color rgb="FF595959"/>
      <name val="DejaVu Sans"/>
      <family val="2"/>
    </font>
    <font>
      <i val="true"/>
      <sz val="8"/>
      <color rgb="FF595959"/>
      <name val="맑은 고딕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맑은 고딕"/>
      <family val="0"/>
      <charset val="1"/>
    </font>
    <font>
      <b val="true"/>
      <sz val="13"/>
      <color rgb="FFFFFFFF"/>
      <name val="DejaVu Sans"/>
      <family val="2"/>
    </font>
    <font>
      <b val="true"/>
      <sz val="13"/>
      <color rgb="FFFFFFFF"/>
      <name val="맑은 고딕"/>
      <family val="0"/>
      <charset val="1"/>
    </font>
    <font>
      <b val="true"/>
      <sz val="13"/>
      <color rgb="FFFFFF00"/>
      <name val="맑은 고딕"/>
      <family val="0"/>
      <charset val="1"/>
    </font>
    <font>
      <i val="true"/>
      <sz val="8"/>
      <color rgb="FFC00000"/>
      <name val="DejaVu Sans"/>
      <family val="2"/>
    </font>
    <font>
      <i val="true"/>
      <sz val="8"/>
      <color rgb="FFC00000"/>
      <name val="맑은 고딕"/>
      <family val="0"/>
      <charset val="1"/>
    </font>
    <font>
      <sz val="9"/>
      <color rgb="FF000000"/>
      <name val="DejaVu Sans"/>
      <family val="2"/>
    </font>
    <font>
      <sz val="9"/>
      <color rgb="FF000000"/>
      <name val="맑은 고딕"/>
      <family val="0"/>
      <charset val="1"/>
    </font>
    <font>
      <i val="true"/>
      <sz val="9"/>
      <color rgb="FF595959"/>
      <name val="맑은 고딕"/>
      <family val="0"/>
      <charset val="1"/>
    </font>
    <font>
      <i val="true"/>
      <sz val="9"/>
      <color rgb="FF595959"/>
      <name val="DejaVu Sans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70C0"/>
      </patternFill>
    </fill>
    <fill>
      <patternFill patternType="solid">
        <fgColor rgb="FFD6E4F7"/>
        <bgColor rgb="FFD6DCE4"/>
      </patternFill>
    </fill>
    <fill>
      <patternFill patternType="solid">
        <fgColor rgb="FFD6DCE4"/>
        <bgColor rgb="FFD6E4F7"/>
      </patternFill>
    </fill>
    <fill>
      <patternFill patternType="solid">
        <fgColor rgb="FFF5F5F5"/>
        <bgColor rgb="FFF7F7F7"/>
      </patternFill>
    </fill>
    <fill>
      <patternFill patternType="solid">
        <fgColor rgb="FFFFF2CC"/>
        <bgColor rgb="FFEBF3E8"/>
      </patternFill>
    </fill>
    <fill>
      <patternFill patternType="solid">
        <fgColor rgb="FFEBF3E8"/>
        <bgColor rgb="FFF5F5F5"/>
      </patternFill>
    </fill>
    <fill>
      <patternFill patternType="solid">
        <fgColor rgb="FF5B9BD5"/>
        <bgColor rgb="FF969696"/>
      </patternFill>
    </fill>
    <fill>
      <patternFill patternType="solid">
        <fgColor rgb="FFFFFFFF"/>
        <bgColor rgb="FFF7F7F7"/>
      </patternFill>
    </fill>
    <fill>
      <patternFill patternType="solid">
        <fgColor rgb="FFF7F7F7"/>
        <bgColor rgb="FFF5F5F5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9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2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9" fillId="2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5B9BD5"/>
      <rgbColor rgb="FF993366"/>
      <rgbColor rgb="FFFFF2CC"/>
      <rgbColor rgb="FFEBF3E8"/>
      <rgbColor rgb="FF660066"/>
      <rgbColor rgb="FFFF8080"/>
      <rgbColor rgb="FF0070C0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F5F5F5"/>
      <rgbColor rgb="FFF7F7F7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2"/>
  </cols>
  <sheetData>
    <row r="1" customFormat="false" ht="15" hidden="false" customHeight="true" outlineLevel="0" collapsed="false"/>
    <row r="2" customFormat="false" ht="57.75" hidden="false" customHeight="true" outlineLevel="0" collapsed="false">
      <c r="B2" s="1" t="s">
        <v>0</v>
      </c>
      <c r="C2" s="1"/>
      <c r="D2" s="1"/>
    </row>
    <row r="4" customFormat="false" ht="4.5" hidden="false" customHeight="true" outlineLevel="0" collapsed="false"/>
    <row r="5" customFormat="false" ht="37.5" hidden="false" customHeight="true" outlineLevel="0" collapsed="false">
      <c r="B5" s="2" t="s">
        <v>1</v>
      </c>
      <c r="C5" s="3" t="s">
        <v>2</v>
      </c>
      <c r="D5" s="4" t="s">
        <v>3</v>
      </c>
    </row>
    <row r="7" customFormat="false" ht="4.5" hidden="false" customHeight="true" outlineLevel="0" collapsed="false"/>
    <row r="8" customFormat="false" ht="37.5" hidden="false" customHeight="true" outlineLevel="0" collapsed="false">
      <c r="B8" s="2" t="s">
        <v>4</v>
      </c>
      <c r="C8" s="3" t="s">
        <v>5</v>
      </c>
      <c r="D8" s="4" t="s">
        <v>3</v>
      </c>
    </row>
    <row r="10" customFormat="false" ht="4.5" hidden="false" customHeight="true" outlineLevel="0" collapsed="false"/>
    <row r="11" customFormat="false" ht="37.5" hidden="false" customHeight="true" outlineLevel="0" collapsed="false">
      <c r="B11" s="2" t="s">
        <v>6</v>
      </c>
      <c r="C11" s="3" t="s">
        <v>7</v>
      </c>
      <c r="D11" s="4" t="s">
        <v>3</v>
      </c>
    </row>
    <row r="13" customFormat="false" ht="4.5" hidden="false" customHeight="true" outlineLevel="0" collapsed="false"/>
    <row r="14" customFormat="false" ht="37.5" hidden="false" customHeight="true" outlineLevel="0" collapsed="false">
      <c r="B14" s="2" t="s">
        <v>8</v>
      </c>
      <c r="C14" s="3" t="s">
        <v>9</v>
      </c>
      <c r="D14" s="4" t="s">
        <v>3</v>
      </c>
    </row>
    <row r="17" customFormat="false" ht="34.5" hidden="false" customHeight="true" outlineLevel="0" collapsed="false">
      <c r="B17" s="5" t="s">
        <v>10</v>
      </c>
      <c r="C17" s="5"/>
      <c r="D17" s="5"/>
    </row>
  </sheetData>
  <mergeCells count="2">
    <mergeCell ref="B2:D2"/>
    <mergeCell ref="B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35"/>
    <col collapsed="false" customWidth="true" hidden="false" outlineLevel="0" max="5" min="5" style="0" width="2"/>
  </cols>
  <sheetData>
    <row r="1" customFormat="false" ht="42" hidden="false" customHeight="true" outlineLevel="0" collapsed="false">
      <c r="A1" s="6" t="s">
        <v>11</v>
      </c>
      <c r="B1" s="6"/>
      <c r="C1" s="6"/>
      <c r="D1" s="6"/>
      <c r="E1" s="6"/>
      <c r="F1" s="6"/>
    </row>
    <row r="2" customFormat="false" ht="6" hidden="false" customHeight="true" outlineLevel="0" collapsed="false"/>
    <row r="3" customFormat="false" ht="21.75" hidden="false" customHeight="true" outlineLevel="0" collapsed="false">
      <c r="B3" s="7" t="s">
        <v>12</v>
      </c>
      <c r="C3" s="7"/>
      <c r="D3" s="7"/>
      <c r="E3" s="7"/>
    </row>
    <row r="4" customFormat="false" ht="21.75" hidden="false" customHeight="true" outlineLevel="0" collapsed="false">
      <c r="B4" s="8" t="s">
        <v>13</v>
      </c>
      <c r="C4" s="9" t="s">
        <v>14</v>
      </c>
      <c r="D4" s="10" t="s">
        <v>15</v>
      </c>
    </row>
    <row r="5" customFormat="false" ht="21.75" hidden="false" customHeight="true" outlineLevel="0" collapsed="false">
      <c r="B5" s="8" t="s">
        <v>16</v>
      </c>
      <c r="C5" s="11" t="n">
        <v>0</v>
      </c>
      <c r="D5" s="10" t="s">
        <v>17</v>
      </c>
    </row>
    <row r="6" customFormat="false" ht="21.75" hidden="false" customHeight="true" outlineLevel="0" collapsed="false">
      <c r="B6" s="8" t="s">
        <v>18</v>
      </c>
      <c r="C6" s="9" t="s">
        <v>19</v>
      </c>
    </row>
    <row r="7" customFormat="false" ht="21.75" hidden="false" customHeight="true" outlineLevel="0" collapsed="false">
      <c r="B7" s="8" t="s">
        <v>20</v>
      </c>
      <c r="C7" s="9" t="s">
        <v>21</v>
      </c>
      <c r="D7" s="10" t="s">
        <v>22</v>
      </c>
    </row>
    <row r="8" customFormat="false" ht="21.75" hidden="false" customHeight="true" outlineLevel="0" collapsed="false">
      <c r="B8" s="8" t="s">
        <v>23</v>
      </c>
      <c r="C8" s="11" t="n">
        <v>0</v>
      </c>
      <c r="D8" s="10" t="s">
        <v>24</v>
      </c>
    </row>
    <row r="9" customFormat="false" ht="21.75" hidden="false" customHeight="true" outlineLevel="0" collapsed="false">
      <c r="B9" s="8" t="s">
        <v>25</v>
      </c>
      <c r="C9" s="11" t="n">
        <v>0</v>
      </c>
      <c r="D9" s="10" t="s">
        <v>26</v>
      </c>
    </row>
    <row r="10" customFormat="false" ht="6" hidden="false" customHeight="true" outlineLevel="0" collapsed="false"/>
    <row r="11" customFormat="false" ht="21.75" hidden="false" customHeight="true" outlineLevel="0" collapsed="false">
      <c r="B11" s="7" t="s">
        <v>27</v>
      </c>
      <c r="C11" s="7"/>
      <c r="D11" s="7"/>
      <c r="E11" s="7"/>
    </row>
    <row r="12" customFormat="false" ht="21.75" hidden="false" customHeight="true" outlineLevel="0" collapsed="false">
      <c r="B12" s="12" t="s">
        <v>28</v>
      </c>
      <c r="C12" s="13" t="n">
        <f aca="false">IFERROR(IF(OR(C4="근저당권설정",C4="전세권설정"),ROUND(C8*0.002,0),IF(C4="소유권이전(매매)",IF(OR(C6="주택(85㎡이하)",C6="주택(85㎡초과)"),IF(C5&lt;=600000000,ROUND(C5*0.01,0),IF(C5&lt;=900000000,ROUND(C5*(C5/100000000*2/3-3)/100,0),ROUND(C5*0.03,0))),IF(C6="농지",ROUND(C5*0.03,0),ROUND(C5*0.04,0))),IF(C4="소유권이전(증여)",ROUND(C5*0.035,0),IF(C4="소유권이전(상속)",IF(C6="농지",ROUND(C5*0.003,0),ROUND(C5*0.008,0)),IF(C4="소유권보존",ROUND(C5*0.008,0),0))))),0)</f>
        <v>0</v>
      </c>
      <c r="D12" s="14" t="s">
        <v>29</v>
      </c>
    </row>
    <row r="13" customFormat="false" ht="21.75" hidden="false" customHeight="true" outlineLevel="0" collapsed="false">
      <c r="B13" s="12" t="s">
        <v>30</v>
      </c>
      <c r="C13" s="13" t="n">
        <f aca="false">IF(OR(C4="근저당권설정",C4="전세권설정"),ROUND(C12*0.2,0),ROUND(C12*0.1,0))</f>
        <v>0</v>
      </c>
      <c r="D13" s="14" t="s">
        <v>31</v>
      </c>
    </row>
    <row r="14" customFormat="false" ht="21.75" hidden="false" customHeight="true" outlineLevel="0" collapsed="false">
      <c r="B14" s="12" t="s">
        <v>32</v>
      </c>
      <c r="C14" s="13" t="n">
        <f aca="false">IF(C6="주택(85㎡이하)",0,IF(OR(C4="근저당권설정",C4="전세권설정",C4="소유권보존"),0,ROUND(C12*0.1,0)))</f>
        <v>0</v>
      </c>
      <c r="D14" s="14" t="s">
        <v>33</v>
      </c>
    </row>
    <row r="15" customFormat="false" ht="21.75" hidden="false" customHeight="true" outlineLevel="0" collapsed="false">
      <c r="B15" s="12" t="s">
        <v>34</v>
      </c>
      <c r="C15" s="13" t="n">
        <f aca="false">IF(C9&lt;=0,0,IF(C9&lt;10000000,0,IF(C9&lt;30000000,20000,IF(C9&lt;50000000,40000,IF(C9&lt;100000000,70000,IF(C9&lt;1000000000,150000,350000))))))</f>
        <v>0</v>
      </c>
      <c r="D15" s="15" t="s">
        <v>35</v>
      </c>
    </row>
    <row r="16" customFormat="false" ht="21.75" hidden="false" customHeight="true" outlineLevel="0" collapsed="false">
      <c r="B16" s="12" t="s">
        <v>36</v>
      </c>
      <c r="C16" s="13" t="n">
        <f aca="false">IF(OR(C4="근저당권설정",C4="전세권설정",C4="소유권보존",C4="소유권이전(상속)",C4="소유권이전(증여)"),0,IF(C6="농지",0,IF(C7="서울특별시",IF(C6="주택(85㎡이하)",ROUND(C5*0.013,0),ROUND(C5*0.01,0)),IF(C7="광역시·특별자치시",IF(C6="주택(85㎡이하)",ROUND(C5*0.01,0),ROUND(C5*0.008,0)),IF(C7="시(수도권)",IF(C6="주택(85㎡이하)",ROUND(C5*0.007,0),ROUND(C5*0.005,0)),IF(C7="시(기타)",ROUND(C5*0.005,0),ROUND(C5*0.003,0)))))))</f>
        <v>0</v>
      </c>
      <c r="D16" s="14" t="s">
        <v>37</v>
      </c>
    </row>
    <row r="17" customFormat="false" ht="24" hidden="false" customHeight="true" outlineLevel="0" collapsed="false">
      <c r="B17" s="16" t="s">
        <v>38</v>
      </c>
      <c r="C17" s="17" t="n">
        <f aca="false">SUM(C12:C16)</f>
        <v>0</v>
      </c>
    </row>
    <row r="18" customFormat="false" ht="6" hidden="false" customHeight="true" outlineLevel="0" collapsed="false"/>
    <row r="19" customFormat="false" ht="21.75" hidden="false" customHeight="true" outlineLevel="0" collapsed="false">
      <c r="B19" s="7" t="s">
        <v>39</v>
      </c>
      <c r="C19" s="7"/>
      <c r="D19" s="7"/>
      <c r="E19" s="7"/>
    </row>
    <row r="20" customFormat="false" ht="21.75" hidden="false" customHeight="true" outlineLevel="0" collapsed="false">
      <c r="B20" s="12" t="s">
        <v>40</v>
      </c>
      <c r="C20" s="13" t="n">
        <f aca="false">IFERROR(MAX(70000,IF(OR(C4="근저당권설정",C4="전세권설정"),IF(C8&lt;=30000000,80000,IF(C8&lt;=50000000,80000+(C8-30000000)*0.004,IF(C8&lt;=100000000,160000+(C8-50000000)*0.003,IF(C8&lt;=500000000,310000+(C8-100000000)*0.002,IF(C8&lt;=1000000000,1110000+(C8-500000000)*0.001,1610000+(C8-1000000000)*0.0007))))),IF(C5&lt;=30000000,100000,IF(C5&lt;=50000000,100000+(C5-30000000)*0.004,IF(C5&lt;=100000000,180000+(C5-50000000)*0.003,IF(C5&lt;=500000000,330000+(C5-100000000)*0.002,IF(C5&lt;=1000000000,1130000+(C5-500000000)*0.001,1630000+(C5-1000000000)*0.0007))))))),0)</f>
        <v>100000</v>
      </c>
      <c r="D20" s="14" t="s">
        <v>41</v>
      </c>
    </row>
    <row r="21" customFormat="false" ht="21.75" hidden="false" customHeight="true" outlineLevel="0" collapsed="false">
      <c r="B21" s="12" t="s">
        <v>42</v>
      </c>
      <c r="C21" s="13" t="n">
        <f aca="false">ROUND(C20*0.1,0)</f>
        <v>10000</v>
      </c>
    </row>
    <row r="22" customFormat="false" ht="24" hidden="false" customHeight="true" outlineLevel="0" collapsed="false">
      <c r="B22" s="16" t="s">
        <v>43</v>
      </c>
      <c r="C22" s="17" t="n">
        <f aca="false">C20+C21</f>
        <v>110000</v>
      </c>
    </row>
    <row r="23" customFormat="false" ht="6" hidden="false" customHeight="true" outlineLevel="0" collapsed="false"/>
    <row r="24" customFormat="false" ht="37.5" hidden="false" customHeight="true" outlineLevel="0" collapsed="false">
      <c r="B24" s="18" t="s">
        <v>44</v>
      </c>
      <c r="C24" s="18"/>
      <c r="D24" s="18"/>
      <c r="E24" s="19" t="n">
        <f aca="false">C17+C22</f>
        <v>110000</v>
      </c>
    </row>
    <row r="25" customFormat="false" ht="6" hidden="false" customHeight="true" outlineLevel="0" collapsed="false"/>
    <row r="26" customFormat="false" ht="21.75" hidden="false" customHeight="true" outlineLevel="0" collapsed="false">
      <c r="B26" s="7" t="s">
        <v>45</v>
      </c>
      <c r="C26" s="7"/>
      <c r="D26" s="7"/>
      <c r="E26" s="7"/>
    </row>
    <row r="27" customFormat="false" ht="21.75" hidden="false" customHeight="true" outlineLevel="0" collapsed="false">
      <c r="B27" s="12" t="s">
        <v>46</v>
      </c>
      <c r="C27" s="13" t="n">
        <f aca="false">ROUND(C16*0.95,0)</f>
        <v>0</v>
      </c>
      <c r="D27" s="14" t="s">
        <v>47</v>
      </c>
    </row>
    <row r="28" customFormat="false" ht="30" hidden="false" customHeight="true" outlineLevel="0" collapsed="false">
      <c r="B28" s="20" t="s">
        <v>48</v>
      </c>
      <c r="C28" s="20"/>
      <c r="D28" s="20"/>
      <c r="E28" s="20"/>
    </row>
  </sheetData>
  <mergeCells count="7">
    <mergeCell ref="A1:F1"/>
    <mergeCell ref="B3:E3"/>
    <mergeCell ref="B11:E11"/>
    <mergeCell ref="B19:E19"/>
    <mergeCell ref="B24:D24"/>
    <mergeCell ref="B26:E26"/>
    <mergeCell ref="B28:E28"/>
  </mergeCells>
  <dataValidations count="3">
    <dataValidation allowBlank="false" error="목록에서 선택하세요" errorStyle="stop" errorTitle="입력 오류" operator="between" showDropDown="false" showErrorMessage="true" showInputMessage="true" sqref="C4" type="list">
      <formula1>"소유권이전(매매),소유권이전(증여),소유권이전(상속),근저당권설정,소유권보존,전세권설정"</formula1>
      <formula2>0</formula2>
    </dataValidation>
    <dataValidation allowBlank="false" error="목록에서 선택하세요" errorStyle="stop" errorTitle="입력 오류" operator="between" showDropDown="false" showErrorMessage="true" showInputMessage="true" sqref="C6" type="list">
      <formula1>"주택(85㎡이하),주택(85㎡초과),비주택(상가·공업용),농지"</formula1>
      <formula2>0</formula2>
    </dataValidation>
    <dataValidation allowBlank="false" error="목록에서 선택하세요" errorStyle="stop" errorTitle="입력 오류" operator="between" showDropDown="false" showErrorMessage="true" showInputMessage="true" sqref="C7" type="list">
      <formula1>"서울특별시,광역시·특별자치시,시(수도권),시(기타),군"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35"/>
    <col collapsed="false" customWidth="true" hidden="false" outlineLevel="0" max="5" min="5" style="0" width="2"/>
  </cols>
  <sheetData>
    <row r="1" customFormat="false" ht="42" hidden="false" customHeight="true" outlineLevel="0" collapsed="false">
      <c r="A1" s="6" t="s">
        <v>49</v>
      </c>
      <c r="B1" s="6"/>
      <c r="C1" s="6"/>
      <c r="D1" s="6"/>
      <c r="E1" s="6"/>
      <c r="F1" s="6"/>
    </row>
    <row r="2" customFormat="false" ht="6" hidden="false" customHeight="true" outlineLevel="0" collapsed="false"/>
    <row r="3" customFormat="false" ht="21.75" hidden="false" customHeight="true" outlineLevel="0" collapsed="false">
      <c r="B3" s="7" t="s">
        <v>50</v>
      </c>
      <c r="C3" s="7"/>
      <c r="D3" s="7"/>
      <c r="E3" s="7"/>
    </row>
    <row r="4" customFormat="false" ht="21.75" hidden="false" customHeight="true" outlineLevel="0" collapsed="false">
      <c r="B4" s="8" t="s">
        <v>13</v>
      </c>
      <c r="C4" s="9" t="s">
        <v>51</v>
      </c>
    </row>
    <row r="5" customFormat="false" ht="21.75" hidden="false" customHeight="true" outlineLevel="0" collapsed="false">
      <c r="B5" s="8" t="s">
        <v>52</v>
      </c>
      <c r="C5" s="11" t="n">
        <v>0</v>
      </c>
      <c r="D5" s="10" t="s">
        <v>53</v>
      </c>
    </row>
    <row r="6" customFormat="false" ht="21.75" hidden="false" customHeight="true" outlineLevel="0" collapsed="false">
      <c r="B6" s="8" t="s">
        <v>18</v>
      </c>
      <c r="C6" s="9" t="s">
        <v>54</v>
      </c>
    </row>
    <row r="7" customFormat="false" ht="21.75" hidden="false" customHeight="true" outlineLevel="0" collapsed="false">
      <c r="B7" s="8" t="s">
        <v>55</v>
      </c>
      <c r="C7" s="11" t="n">
        <v>1</v>
      </c>
      <c r="D7" s="10" t="s">
        <v>56</v>
      </c>
    </row>
    <row r="8" customFormat="false" ht="21.75" hidden="false" customHeight="true" outlineLevel="0" collapsed="false">
      <c r="B8" s="8" t="s">
        <v>57</v>
      </c>
      <c r="C8" s="11" t="n">
        <v>0</v>
      </c>
      <c r="D8" s="10" t="s">
        <v>58</v>
      </c>
    </row>
    <row r="9" customFormat="false" ht="6" hidden="false" customHeight="true" outlineLevel="0" collapsed="false"/>
    <row r="10" customFormat="false" ht="21.75" hidden="false" customHeight="true" outlineLevel="0" collapsed="false">
      <c r="B10" s="7" t="s">
        <v>27</v>
      </c>
      <c r="C10" s="7"/>
      <c r="D10" s="7"/>
      <c r="E10" s="7"/>
    </row>
    <row r="11" customFormat="false" ht="21.75" hidden="false" customHeight="true" outlineLevel="0" collapsed="false">
      <c r="B11" s="12" t="s">
        <v>59</v>
      </c>
      <c r="C11" s="13" t="n">
        <f aca="false">IF(C4="유언공정증서(공증만)",0,IF(C6="농지",ROUND(C5*0.003,0),ROUND(C5*0.008,0)))</f>
        <v>0</v>
      </c>
      <c r="D11" s="14" t="s">
        <v>60</v>
      </c>
    </row>
    <row r="12" customFormat="false" ht="21.75" hidden="false" customHeight="true" outlineLevel="0" collapsed="false">
      <c r="B12" s="12" t="s">
        <v>30</v>
      </c>
      <c r="C12" s="13" t="n">
        <f aca="false">IF(C4="유언공정증서(공증만)",0,ROUND(C11*0.1,0))</f>
        <v>0</v>
      </c>
      <c r="D12" s="14" t="s">
        <v>61</v>
      </c>
    </row>
    <row r="13" customFormat="false" ht="21.75" hidden="false" customHeight="true" outlineLevel="0" collapsed="false">
      <c r="B13" s="12" t="s">
        <v>32</v>
      </c>
      <c r="C13" s="13" t="n">
        <f aca="false">IF(OR(C4="유언공정증서(공증만)",C6="주택"),0,ROUND(C11*0.1,0))</f>
        <v>0</v>
      </c>
      <c r="D13" s="14" t="s">
        <v>62</v>
      </c>
    </row>
    <row r="14" customFormat="false" ht="24" hidden="false" customHeight="true" outlineLevel="0" collapsed="false">
      <c r="B14" s="16" t="s">
        <v>38</v>
      </c>
      <c r="C14" s="17" t="n">
        <f aca="false">SUM(C11:C13)</f>
        <v>0</v>
      </c>
    </row>
    <row r="15" customFormat="false" ht="6" hidden="false" customHeight="true" outlineLevel="0" collapsed="false"/>
    <row r="16" customFormat="false" ht="21.75" hidden="false" customHeight="true" outlineLevel="0" collapsed="false">
      <c r="B16" s="7" t="s">
        <v>63</v>
      </c>
      <c r="C16" s="7"/>
      <c r="D16" s="7"/>
      <c r="E16" s="7"/>
    </row>
    <row r="17" customFormat="false" ht="21.75" hidden="false" customHeight="true" outlineLevel="0" collapsed="false">
      <c r="B17" s="12" t="s">
        <v>40</v>
      </c>
      <c r="C17" s="13" t="n">
        <f aca="false">IFERROR(MAX(100000,IF(C4="유언공정증서(공증만)",200000,IF(C5&lt;=30000000,130000,IF(C5&lt;=50000000,130000+(C5-30000000)*0.004,IF(C5&lt;=100000000,210000+(C5-50000000)*0.003,IF(C5&lt;=500000000,360000+(C5-100000000)*0.002,IF(C5&lt;=1000000000,1160000+(C5-500000000)*0.001,1660000+(C5-1000000000)*0.0007))))))+IF(C4="유언공정증서(공증만)",0,MAX(0,(C7-1)*50000))),0)</f>
        <v>130000</v>
      </c>
      <c r="D17" s="14" t="s">
        <v>64</v>
      </c>
    </row>
    <row r="18" customFormat="false" ht="21.75" hidden="false" customHeight="true" outlineLevel="0" collapsed="false">
      <c r="B18" s="12" t="s">
        <v>42</v>
      </c>
      <c r="C18" s="13" t="n">
        <f aca="false">ROUND(C17*0.1,0)</f>
        <v>13000</v>
      </c>
    </row>
    <row r="19" customFormat="false" ht="24" hidden="false" customHeight="true" outlineLevel="0" collapsed="false">
      <c r="B19" s="16" t="s">
        <v>43</v>
      </c>
      <c r="C19" s="17" t="n">
        <f aca="false">C17+C18</f>
        <v>143000</v>
      </c>
    </row>
    <row r="20" customFormat="false" ht="6" hidden="false" customHeight="true" outlineLevel="0" collapsed="false"/>
    <row r="21" customFormat="false" ht="37.5" hidden="false" customHeight="true" outlineLevel="0" collapsed="false">
      <c r="B21" s="18" t="s">
        <v>44</v>
      </c>
      <c r="C21" s="18"/>
      <c r="D21" s="18"/>
      <c r="E21" s="19" t="n">
        <f aca="false">C14+C19</f>
        <v>143000</v>
      </c>
    </row>
    <row r="22" customFormat="false" ht="30" hidden="false" customHeight="true" outlineLevel="0" collapsed="false">
      <c r="B22" s="20" t="s">
        <v>65</v>
      </c>
      <c r="C22" s="20"/>
      <c r="D22" s="20"/>
      <c r="E22" s="20"/>
    </row>
  </sheetData>
  <mergeCells count="6">
    <mergeCell ref="A1:F1"/>
    <mergeCell ref="B3:E3"/>
    <mergeCell ref="B10:E10"/>
    <mergeCell ref="B16:E16"/>
    <mergeCell ref="B21:D21"/>
    <mergeCell ref="B22:E22"/>
  </mergeCells>
  <dataValidations count="2">
    <dataValidation allowBlank="false" error="목록에서 선택하세요" errorStyle="stop" errorTitle="입력 오류" operator="between" showDropDown="false" showErrorMessage="true" showInputMessage="true" sqref="C4" type="list">
      <formula1>"소유권이전(상속),소유권이전(유증),유언공정증서(공증만)"</formula1>
      <formula2>0</formula2>
    </dataValidation>
    <dataValidation allowBlank="false" error="목록에서 선택하세요" errorStyle="stop" errorTitle="입력 오류" operator="between" showDropDown="false" showErrorMessage="true" showInputMessage="true" sqref="C6" type="list">
      <formula1>"주택,비주택,농지"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35"/>
    <col collapsed="false" customWidth="true" hidden="false" outlineLevel="0" max="5" min="5" style="0" width="2"/>
  </cols>
  <sheetData>
    <row r="1" customFormat="false" ht="42" hidden="false" customHeight="true" outlineLevel="0" collapsed="false">
      <c r="A1" s="6" t="s">
        <v>66</v>
      </c>
      <c r="B1" s="6"/>
      <c r="C1" s="6"/>
      <c r="D1" s="6"/>
      <c r="E1" s="6"/>
      <c r="F1" s="6"/>
    </row>
    <row r="2" customFormat="false" ht="6" hidden="false" customHeight="true" outlineLevel="0" collapsed="false"/>
    <row r="3" customFormat="false" ht="21.75" hidden="false" customHeight="true" outlineLevel="0" collapsed="false">
      <c r="B3" s="7" t="s">
        <v>50</v>
      </c>
      <c r="C3" s="7"/>
      <c r="D3" s="7"/>
      <c r="E3" s="7"/>
    </row>
    <row r="4" customFormat="false" ht="21.75" hidden="false" customHeight="true" outlineLevel="0" collapsed="false">
      <c r="B4" s="8" t="s">
        <v>67</v>
      </c>
      <c r="C4" s="9" t="s">
        <v>68</v>
      </c>
    </row>
    <row r="5" customFormat="false" ht="21.75" hidden="false" customHeight="true" outlineLevel="0" collapsed="false">
      <c r="B5" s="8" t="s">
        <v>69</v>
      </c>
      <c r="C5" s="9" t="s">
        <v>70</v>
      </c>
    </row>
    <row r="6" customFormat="false" ht="21.75" hidden="false" customHeight="true" outlineLevel="0" collapsed="false">
      <c r="B6" s="8" t="s">
        <v>71</v>
      </c>
      <c r="C6" s="11" t="n">
        <v>0</v>
      </c>
      <c r="D6" s="10" t="s">
        <v>72</v>
      </c>
    </row>
    <row r="7" customFormat="false" ht="21.75" hidden="false" customHeight="true" outlineLevel="0" collapsed="false">
      <c r="B7" s="8" t="s">
        <v>73</v>
      </c>
      <c r="C7" s="11" t="n">
        <v>0</v>
      </c>
      <c r="D7" s="10" t="s">
        <v>74</v>
      </c>
    </row>
    <row r="8" customFormat="false" ht="6" hidden="false" customHeight="true" outlineLevel="0" collapsed="false"/>
    <row r="9" customFormat="false" ht="21.75" hidden="false" customHeight="true" outlineLevel="0" collapsed="false">
      <c r="B9" s="7" t="s">
        <v>27</v>
      </c>
      <c r="C9" s="7"/>
      <c r="D9" s="7"/>
      <c r="E9" s="7"/>
    </row>
    <row r="10" customFormat="false" ht="21.75" hidden="false" customHeight="true" outlineLevel="0" collapsed="false">
      <c r="B10" s="12" t="s">
        <v>75</v>
      </c>
      <c r="C10" s="13" t="n">
        <f aca="false">IF(OR(C4="법인설립",C4="자본금증가(증자)"),MAX(112500,ROUND(C6*0.004,0)),IF(C4="임원변경",40200,IF(C4="본점이전(관내)",40200,IF(C4="본점이전(관외)",112500,IF(C4="지점설치",40200,IF(C4="해산·청산",40200,40200))))))</f>
        <v>112500</v>
      </c>
      <c r="D10" s="14" t="s">
        <v>76</v>
      </c>
    </row>
    <row r="11" customFormat="false" ht="21.75" hidden="false" customHeight="true" outlineLevel="0" collapsed="false">
      <c r="B11" s="12" t="s">
        <v>30</v>
      </c>
      <c r="C11" s="13" t="n">
        <f aca="false">ROUND(C10*0.2,0)</f>
        <v>22500</v>
      </c>
      <c r="D11" s="14" t="s">
        <v>77</v>
      </c>
    </row>
    <row r="12" customFormat="false" ht="21.75" hidden="false" customHeight="true" outlineLevel="0" collapsed="false">
      <c r="B12" s="12" t="s">
        <v>78</v>
      </c>
      <c r="C12" s="13" t="n">
        <f aca="false">IF(OR(C4="법인설립",C4="자본금증가(증자)"),IF(C6&lt;10000000,0,IF(C6&lt;30000000,20000,IF(C6&lt;50000000,40000,IF(C6&lt;100000000,70000,IF(C6&lt;1000000000,150000,350000))))),0)</f>
        <v>0</v>
      </c>
      <c r="D12" s="14" t="s">
        <v>79</v>
      </c>
    </row>
    <row r="13" customFormat="false" ht="24" hidden="false" customHeight="true" outlineLevel="0" collapsed="false">
      <c r="B13" s="16" t="s">
        <v>38</v>
      </c>
      <c r="C13" s="17" t="n">
        <f aca="false">SUM(C10:C12)</f>
        <v>135000</v>
      </c>
    </row>
    <row r="14" customFormat="false" ht="6" hidden="false" customHeight="true" outlineLevel="0" collapsed="false"/>
    <row r="15" customFormat="false" ht="21.75" hidden="false" customHeight="true" outlineLevel="0" collapsed="false">
      <c r="B15" s="7" t="s">
        <v>63</v>
      </c>
      <c r="C15" s="7"/>
      <c r="D15" s="7"/>
      <c r="E15" s="7"/>
    </row>
    <row r="16" customFormat="false" ht="21.75" hidden="false" customHeight="true" outlineLevel="0" collapsed="false">
      <c r="B16" s="12" t="s">
        <v>40</v>
      </c>
      <c r="C16" s="13" t="n">
        <f aca="false">IFERROR(MAX(100000,IF(OR(C4="법인설립",C4="자본금증가(증자)"),IF(C6&lt;=50000000,200000,IF(C6&lt;=100000000,200000+(C6-50000000)*0.002,IF(C6&lt;=500000000,300000+(C6-100000000)*0.001,IF(C6&lt;=1000000000,700000+(C6-500000000)*0.0005,950000+(C6-1000000000)*0.0003)))),IF(C4="임원변경",MAX(100000,C7*50000),IF(OR(C4="본점이전(관내)",C4="본점이전(관외)"),150000,120000)))),0)</f>
        <v>200000</v>
      </c>
      <c r="D16" s="14" t="s">
        <v>80</v>
      </c>
    </row>
    <row r="17" customFormat="false" ht="21.75" hidden="false" customHeight="true" outlineLevel="0" collapsed="false">
      <c r="B17" s="12" t="s">
        <v>42</v>
      </c>
      <c r="C17" s="13" t="n">
        <f aca="false">ROUND(C16*0.1,0)</f>
        <v>20000</v>
      </c>
    </row>
    <row r="18" customFormat="false" ht="24" hidden="false" customHeight="true" outlineLevel="0" collapsed="false">
      <c r="B18" s="16" t="s">
        <v>43</v>
      </c>
      <c r="C18" s="17" t="n">
        <f aca="false">C16+C17</f>
        <v>220000</v>
      </c>
    </row>
    <row r="19" customFormat="false" ht="6" hidden="false" customHeight="true" outlineLevel="0" collapsed="false"/>
    <row r="20" customFormat="false" ht="37.5" hidden="false" customHeight="true" outlineLevel="0" collapsed="false">
      <c r="B20" s="18" t="s">
        <v>44</v>
      </c>
      <c r="C20" s="18"/>
      <c r="D20" s="18"/>
      <c r="E20" s="19" t="n">
        <f aca="false">C13+C18</f>
        <v>355000</v>
      </c>
    </row>
    <row r="21" customFormat="false" ht="30" hidden="false" customHeight="true" outlineLevel="0" collapsed="false">
      <c r="B21" s="20" t="s">
        <v>81</v>
      </c>
      <c r="C21" s="20"/>
      <c r="D21" s="20"/>
      <c r="E21" s="20"/>
    </row>
  </sheetData>
  <mergeCells count="6">
    <mergeCell ref="A1:F1"/>
    <mergeCell ref="B3:E3"/>
    <mergeCell ref="B9:E9"/>
    <mergeCell ref="B15:E15"/>
    <mergeCell ref="B20:D20"/>
    <mergeCell ref="B21:E21"/>
  </mergeCells>
  <dataValidations count="2">
    <dataValidation allowBlank="false" error="목록에서 선택하세요" errorStyle="stop" errorTitle="입력 오류" operator="between" showDropDown="false" showErrorMessage="true" showInputMessage="true" sqref="C4" type="list">
      <formula1>"법인설립,자본금증가(증자),임원변경,상호·목적 등 변경,본점이전(관내),본점이전(관외),지점설치,해산·청산"</formula1>
      <formula2>0</formula2>
    </dataValidation>
    <dataValidation allowBlank="false" error="목록에서 선택하세요" errorStyle="stop" errorTitle="입력 오류" operator="between" showDropDown="false" showErrorMessage="true" showInputMessage="true" sqref="C5" type="list">
      <formula1>"주식회사,유한회사,유한책임회사,합명·합자회사,협동조합"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35"/>
    <col collapsed="false" customWidth="true" hidden="false" outlineLevel="0" max="5" min="5" style="0" width="2"/>
  </cols>
  <sheetData>
    <row r="1" customFormat="false" ht="42" hidden="false" customHeight="true" outlineLevel="0" collapsed="false">
      <c r="A1" s="6" t="s">
        <v>82</v>
      </c>
      <c r="B1" s="6"/>
      <c r="C1" s="6"/>
      <c r="D1" s="6"/>
      <c r="E1" s="6"/>
      <c r="F1" s="6"/>
    </row>
    <row r="2" customFormat="false" ht="6" hidden="false" customHeight="true" outlineLevel="0" collapsed="false"/>
    <row r="3" customFormat="false" ht="21.75" hidden="false" customHeight="true" outlineLevel="0" collapsed="false">
      <c r="B3" s="7" t="s">
        <v>50</v>
      </c>
      <c r="C3" s="7"/>
      <c r="D3" s="7"/>
      <c r="E3" s="7"/>
    </row>
    <row r="4" customFormat="false" ht="21.75" hidden="false" customHeight="true" outlineLevel="0" collapsed="false">
      <c r="B4" s="8" t="s">
        <v>83</v>
      </c>
      <c r="C4" s="9" t="s">
        <v>84</v>
      </c>
    </row>
    <row r="5" customFormat="false" ht="21.75" hidden="false" customHeight="true" outlineLevel="0" collapsed="false">
      <c r="B5" s="8" t="s">
        <v>85</v>
      </c>
      <c r="C5" s="11" t="n">
        <v>0</v>
      </c>
    </row>
    <row r="6" customFormat="false" ht="21.75" hidden="false" customHeight="true" outlineLevel="0" collapsed="false">
      <c r="B6" s="8" t="s">
        <v>86</v>
      </c>
      <c r="C6" s="11" t="n">
        <v>2</v>
      </c>
      <c r="D6" s="10" t="s">
        <v>87</v>
      </c>
    </row>
    <row r="7" customFormat="false" ht="21.75" hidden="false" customHeight="true" outlineLevel="0" collapsed="false">
      <c r="B7" s="8" t="s">
        <v>88</v>
      </c>
      <c r="C7" s="11" t="n">
        <v>10</v>
      </c>
      <c r="D7" s="10" t="s">
        <v>89</v>
      </c>
    </row>
    <row r="8" customFormat="false" ht="6" hidden="false" customHeight="true" outlineLevel="0" collapsed="false"/>
    <row r="9" customFormat="false" ht="21.75" hidden="false" customHeight="true" outlineLevel="0" collapsed="false">
      <c r="B9" s="7" t="s">
        <v>27</v>
      </c>
      <c r="C9" s="7"/>
      <c r="D9" s="7"/>
      <c r="E9" s="7"/>
    </row>
    <row r="10" customFormat="false" ht="21.75" hidden="false" customHeight="true" outlineLevel="0" collapsed="false">
      <c r="B10" s="12" t="s">
        <v>90</v>
      </c>
      <c r="C10" s="13" t="n">
        <f aca="false">IF(C4="강제경매신청",MIN(500000,MAX(10000,ROUND(C5*0.0004,0))),IF(OR(C4="채권압류 및 추심·전부명령"),MIN(500000,MAX(10000,ROUND(C5*0.0004,0))),IF(OR(C4="부동산가압류",C4="채권가압류"),MIN(500000,MAX(10000,ROUND(C5*0.0002,0))),IF(C4="지급명령신청",MIN(50000,MAX(1000,ROUND(C5*0.00005,0))),0))))</f>
        <v>10000</v>
      </c>
      <c r="D10" s="14" t="s">
        <v>91</v>
      </c>
    </row>
    <row r="11" customFormat="false" ht="21.75" hidden="false" customHeight="true" outlineLevel="0" collapsed="false">
      <c r="B11" s="12" t="s">
        <v>92</v>
      </c>
      <c r="C11" s="13" t="n">
        <f aca="false">C6*C7*3700</f>
        <v>74000</v>
      </c>
      <c r="D11" s="14" t="s">
        <v>93</v>
      </c>
    </row>
    <row r="12" customFormat="false" ht="24" hidden="false" customHeight="true" outlineLevel="0" collapsed="false">
      <c r="B12" s="16" t="s">
        <v>38</v>
      </c>
      <c r="C12" s="17" t="n">
        <f aca="false">SUM(C10:C11)</f>
        <v>84000</v>
      </c>
    </row>
    <row r="13" customFormat="false" ht="6" hidden="false" customHeight="true" outlineLevel="0" collapsed="false"/>
    <row r="14" customFormat="false" ht="21.75" hidden="false" customHeight="true" outlineLevel="0" collapsed="false">
      <c r="B14" s="7" t="s">
        <v>63</v>
      </c>
      <c r="C14" s="7"/>
      <c r="D14" s="7"/>
      <c r="E14" s="7"/>
    </row>
    <row r="15" customFormat="false" ht="21.75" hidden="false" customHeight="true" outlineLevel="0" collapsed="false">
      <c r="B15" s="12" t="s">
        <v>40</v>
      </c>
      <c r="C15" s="13" t="n">
        <f aca="false">IFERROR(MAX(80000,IF(C4="집행문부여신청",50000,IF(C5&lt;=10000000,100000,IF(C5&lt;=30000000,100000+(C5-10000000)*0.003,IF(C5&lt;=50000000,160000+(C5-30000000)*0.002,IF(C5&lt;=100000000,200000+(C5-50000000)*0.0015,IF(C5&lt;=500000000,275000+(C5-100000000)*0.001,IF(C5&lt;=1000000000,675000+(C5-500000000)*0.0006,975000+(C5-1000000000)*0.0003)))))))),0)</f>
        <v>100000</v>
      </c>
      <c r="D15" s="14" t="s">
        <v>94</v>
      </c>
    </row>
    <row r="16" customFormat="false" ht="21.75" hidden="false" customHeight="true" outlineLevel="0" collapsed="false">
      <c r="B16" s="12" t="s">
        <v>42</v>
      </c>
      <c r="C16" s="13" t="n">
        <f aca="false">ROUND(C15*0.1,0)</f>
        <v>10000</v>
      </c>
    </row>
    <row r="17" customFormat="false" ht="24" hidden="false" customHeight="true" outlineLevel="0" collapsed="false">
      <c r="B17" s="16" t="s">
        <v>43</v>
      </c>
      <c r="C17" s="17" t="n">
        <f aca="false">C15+C16</f>
        <v>110000</v>
      </c>
    </row>
    <row r="18" customFormat="false" ht="6" hidden="false" customHeight="true" outlineLevel="0" collapsed="false"/>
    <row r="19" customFormat="false" ht="37.5" hidden="false" customHeight="true" outlineLevel="0" collapsed="false">
      <c r="B19" s="18" t="s">
        <v>44</v>
      </c>
      <c r="C19" s="18"/>
      <c r="D19" s="18"/>
      <c r="E19" s="19" t="n">
        <f aca="false">C12+C17</f>
        <v>194000</v>
      </c>
    </row>
    <row r="20" customFormat="false" ht="30" hidden="false" customHeight="true" outlineLevel="0" collapsed="false">
      <c r="B20" s="20" t="s">
        <v>95</v>
      </c>
      <c r="C20" s="20"/>
      <c r="D20" s="20"/>
      <c r="E20" s="20"/>
    </row>
  </sheetData>
  <mergeCells count="6">
    <mergeCell ref="A1:F1"/>
    <mergeCell ref="B3:E3"/>
    <mergeCell ref="B9:E9"/>
    <mergeCell ref="B14:E14"/>
    <mergeCell ref="B19:D19"/>
    <mergeCell ref="B20:E20"/>
  </mergeCells>
  <dataValidations count="1">
    <dataValidation allowBlank="false" error="목록에서 선택하세요" errorStyle="stop" errorTitle="입력 오류" operator="between" showDropDown="false" showErrorMessage="true" showInputMessage="true" sqref="C4" type="list">
      <formula1>"채권압류 및 추심·전부명령,강제경매신청,부동산가압류,채권가압류,지급명령신청,집행문부여신청"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5" min="3" style="0" width="18"/>
  </cols>
  <sheetData>
    <row r="1" customFormat="false" ht="42" hidden="false" customHeight="true" outlineLevel="0" collapsed="false">
      <c r="A1" s="6" t="s">
        <v>96</v>
      </c>
      <c r="B1" s="6"/>
      <c r="C1" s="6"/>
      <c r="D1" s="6"/>
      <c r="E1" s="6"/>
      <c r="F1" s="6"/>
    </row>
    <row r="2" customFormat="false" ht="6" hidden="false" customHeight="true" outlineLevel="0" collapsed="false"/>
    <row r="3" customFormat="false" ht="21.75" hidden="false" customHeight="true" outlineLevel="0" collapsed="false">
      <c r="B3" s="7" t="s">
        <v>97</v>
      </c>
      <c r="C3" s="7"/>
      <c r="D3" s="7"/>
      <c r="E3" s="7"/>
    </row>
    <row r="4" customFormat="false" ht="21.75" hidden="false" customHeight="true" outlineLevel="0" collapsed="false">
      <c r="B4" s="21" t="s">
        <v>98</v>
      </c>
      <c r="C4" s="21" t="s">
        <v>99</v>
      </c>
      <c r="D4" s="21" t="s">
        <v>100</v>
      </c>
    </row>
    <row r="5" customFormat="false" ht="19.5" hidden="false" customHeight="true" outlineLevel="0" collapsed="false">
      <c r="B5" s="22" t="s">
        <v>101</v>
      </c>
      <c r="C5" s="23" t="s">
        <v>102</v>
      </c>
      <c r="D5" s="24" t="s">
        <v>103</v>
      </c>
    </row>
    <row r="6" customFormat="false" ht="19.5" hidden="false" customHeight="true" outlineLevel="0" collapsed="false">
      <c r="B6" s="25" t="s">
        <v>104</v>
      </c>
      <c r="C6" s="26" t="s">
        <v>105</v>
      </c>
      <c r="D6" s="27" t="s">
        <v>106</v>
      </c>
    </row>
    <row r="7" customFormat="false" ht="19.5" hidden="false" customHeight="true" outlineLevel="0" collapsed="false">
      <c r="B7" s="22" t="s">
        <v>107</v>
      </c>
      <c r="C7" s="23" t="s">
        <v>108</v>
      </c>
      <c r="D7" s="24" t="s">
        <v>103</v>
      </c>
    </row>
    <row r="8" customFormat="false" ht="19.5" hidden="false" customHeight="true" outlineLevel="0" collapsed="false">
      <c r="B8" s="25" t="s">
        <v>109</v>
      </c>
      <c r="C8" s="28" t="s">
        <v>110</v>
      </c>
      <c r="D8" s="27"/>
    </row>
    <row r="9" customFormat="false" ht="19.5" hidden="false" customHeight="true" outlineLevel="0" collapsed="false">
      <c r="B9" s="22" t="s">
        <v>111</v>
      </c>
      <c r="C9" s="23" t="s">
        <v>108</v>
      </c>
      <c r="D9" s="24"/>
    </row>
    <row r="10" customFormat="false" ht="19.5" hidden="false" customHeight="true" outlineLevel="0" collapsed="false">
      <c r="B10" s="25" t="s">
        <v>112</v>
      </c>
      <c r="C10" s="28" t="s">
        <v>113</v>
      </c>
      <c r="D10" s="27"/>
    </row>
    <row r="11" customFormat="false" ht="19.5" hidden="false" customHeight="true" outlineLevel="0" collapsed="false">
      <c r="B11" s="22" t="s">
        <v>114</v>
      </c>
      <c r="C11" s="23" t="s">
        <v>115</v>
      </c>
      <c r="D11" s="24"/>
    </row>
    <row r="12" customFormat="false" ht="19.5" hidden="false" customHeight="true" outlineLevel="0" collapsed="false">
      <c r="B12" s="25" t="s">
        <v>116</v>
      </c>
      <c r="C12" s="28" t="s">
        <v>117</v>
      </c>
      <c r="D12" s="27"/>
    </row>
    <row r="13" customFormat="false" ht="19.5" hidden="false" customHeight="true" outlineLevel="0" collapsed="false">
      <c r="B13" s="22" t="s">
        <v>118</v>
      </c>
      <c r="C13" s="23" t="s">
        <v>119</v>
      </c>
      <c r="D13" s="29" t="s">
        <v>120</v>
      </c>
    </row>
    <row r="14" customFormat="false" ht="19.5" hidden="false" customHeight="true" outlineLevel="0" collapsed="false">
      <c r="B14" s="25" t="s">
        <v>121</v>
      </c>
      <c r="C14" s="28" t="s">
        <v>115</v>
      </c>
      <c r="D14" s="27"/>
    </row>
    <row r="16" customFormat="false" ht="6" hidden="false" customHeight="true" outlineLevel="0" collapsed="false"/>
    <row r="17" customFormat="false" ht="21.75" hidden="false" customHeight="true" outlineLevel="0" collapsed="false">
      <c r="B17" s="7" t="s">
        <v>122</v>
      </c>
      <c r="C17" s="7"/>
      <c r="D17" s="7"/>
      <c r="E17" s="7"/>
    </row>
    <row r="18" customFormat="false" ht="15" hidden="false" customHeight="false" outlineLevel="0" collapsed="false">
      <c r="B18" s="21" t="s">
        <v>123</v>
      </c>
      <c r="C18" s="21" t="s">
        <v>124</v>
      </c>
      <c r="D18" s="21" t="s">
        <v>125</v>
      </c>
    </row>
    <row r="19" customFormat="false" ht="19.5" hidden="false" customHeight="true" outlineLevel="0" collapsed="false">
      <c r="B19" s="30" t="s">
        <v>126</v>
      </c>
      <c r="C19" s="31" t="s">
        <v>127</v>
      </c>
      <c r="D19" s="23" t="s">
        <v>128</v>
      </c>
    </row>
    <row r="20" customFormat="false" ht="19.5" hidden="false" customHeight="true" outlineLevel="0" collapsed="false">
      <c r="B20" s="32" t="s">
        <v>129</v>
      </c>
      <c r="C20" s="33" t="s">
        <v>127</v>
      </c>
      <c r="D20" s="26" t="s">
        <v>130</v>
      </c>
    </row>
    <row r="21" customFormat="false" ht="19.5" hidden="false" customHeight="true" outlineLevel="0" collapsed="false">
      <c r="B21" s="30" t="s">
        <v>131</v>
      </c>
      <c r="C21" s="31" t="s">
        <v>132</v>
      </c>
      <c r="D21" s="34" t="s">
        <v>133</v>
      </c>
    </row>
    <row r="22" customFormat="false" ht="19.5" hidden="false" customHeight="true" outlineLevel="0" collapsed="false">
      <c r="B22" s="32" t="s">
        <v>134</v>
      </c>
      <c r="C22" s="33" t="s">
        <v>135</v>
      </c>
      <c r="D22" s="26" t="s">
        <v>136</v>
      </c>
    </row>
    <row r="23" customFormat="false" ht="19.5" hidden="false" customHeight="true" outlineLevel="0" collapsed="false">
      <c r="B23" s="30" t="s">
        <v>137</v>
      </c>
      <c r="C23" s="31" t="s">
        <v>138</v>
      </c>
      <c r="D23" s="34" t="s">
        <v>139</v>
      </c>
    </row>
    <row r="24" customFormat="false" ht="19.5" hidden="false" customHeight="true" outlineLevel="0" collapsed="false">
      <c r="B24" s="32" t="s">
        <v>140</v>
      </c>
      <c r="C24" s="33" t="s">
        <v>141</v>
      </c>
      <c r="D24" s="26" t="s">
        <v>142</v>
      </c>
    </row>
    <row r="26" customFormat="false" ht="30" hidden="false" customHeight="true" outlineLevel="0" collapsed="false">
      <c r="B26" s="20" t="s">
        <v>143</v>
      </c>
      <c r="C26" s="20"/>
      <c r="D26" s="20"/>
    </row>
  </sheetData>
  <mergeCells count="4">
    <mergeCell ref="A1:F1"/>
    <mergeCell ref="B3:E3"/>
    <mergeCell ref="B17:E17"/>
    <mergeCell ref="B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2026-04-11T23:42:11Z</dcterms:created>
  <dc:creator>openpyxl</dc:creator>
  <dc:description/>
  <dc:language>en-US</dc:language>
  <cp:lastModifiedBy/>
  <dcterms:modified xsi:type="dcterms:W3CDTF">2026-04-11T23:42:11Z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